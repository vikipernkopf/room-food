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kto\Documents\HTL\3IHIF\WMC\room-food\docs\"/>
    </mc:Choice>
  </mc:AlternateContent>
  <xr:revisionPtr revIDLastSave="0" documentId="13_ncr:1_{1C57622D-789C-46DE-88D2-B8A1A528ABF0}" xr6:coauthVersionLast="47" xr6:coauthVersionMax="47" xr10:uidLastSave="{00000000-0000-0000-0000-000000000000}"/>
  <bookViews>
    <workbookView xWindow="-108" yWindow="-108" windowWidth="23256" windowHeight="12456" xr2:uid="{5CD19CBD-F40D-4B07-8DFB-09D007D4B7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/>
  <c r="B17" i="1"/>
  <c r="B14" i="1"/>
  <c r="C11" i="1"/>
  <c r="D11" i="1"/>
  <c r="B11" i="1"/>
  <c r="E8" i="1"/>
  <c r="E9" i="1"/>
  <c r="E10" i="1"/>
  <c r="E2" i="1"/>
  <c r="E3" i="1"/>
  <c r="E5" i="1"/>
  <c r="E6" i="1"/>
  <c r="E7" i="1"/>
  <c r="E11" i="1" s="1"/>
</calcChain>
</file>

<file path=xl/sharedStrings.xml><?xml version="1.0" encoding="utf-8"?>
<sst xmlns="http://schemas.openxmlformats.org/spreadsheetml/2006/main" count="38" uniqueCount="25">
  <si>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</si>
  <si>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</si>
  <si>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</si>
  <si>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</si>
  <si>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</si>
  <si>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</si>
  <si>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</si>
  <si>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</si>
  <si>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</si>
  <si>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</si>
  <si>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</si>
  <si>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</si>
  <si>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</si>
  <si>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</si>
  <si>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</si>
  <si>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</si>
  <si>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</si>
  <si>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</si>
  <si>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</si>
  <si>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</si>
  <si>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</si>
  <si>
    <t>Calendar design for room view</t>
  </si>
  <si>
    <t>Set up project structure</t>
  </si>
  <si>
    <t>Set up database</t>
  </si>
  <si>
    <t>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</si>
</sst>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quotePrefix="1" applyFont="1" applyAlignment="1">
      <alignment horizontal="center"/>
    </xf>
    <xf numFmtId="0" fontId="0" fillId="0" borderId="0" xfId="0" applyAlignment="1">
      <alignment horizontal="right" vertical="center"/>
    </xf>
    <xf numFmtId="1" fontId="1" fillId="2" borderId="0" xfId="1" applyNumberFormat="1" applyFont="1" applyAlignment="1">
      <alignment horizontal="center"/>
    </xf>
  </cellXfs>
  <cellStyles count="2">
    <cellStyle name="Accent1" xfId="1" builtinId="29"/>
    <cellStyle name="Normal" xfId="0" builtinId="0"/>
  </cellStyles>
  <dxfs count="14"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11" totalsRowShown="0" headerRowDxfId="13">
  <tableColumns count="6">
    <tableColumn id="1" xr3:uid="{BD104E6C-3FB2-4028-B39E-1642A4E103F5}" name="Task" dataDxfId="12"/>
    <tableColumn id="2" xr3:uid="{660AA389-84BF-4073-B3DF-146936FB4E81}" name="Orig. Est." dataDxfId="11"/>
    <tableColumn id="3" xr3:uid="{D378DE41-A349-4E73-9DC6-E2AD96D7D4A4}" name="Cur. Est." dataDxfId="10"/>
    <tableColumn id="4" xr3:uid="{946D4402-72BC-47FB-BC27-9032EAD1C753}" name="Effort" dataDxfId="9"/>
    <tableColumn id="5" xr3:uid="{AC96E08D-31C6-4AAC-9707-12BB2EE31872}" name="Remain" dataDxfId="8"/>
    <tableColumn id="6" xr3:uid="{1EC34EF9-51C7-4321-9E8F-6F0F5D21B221}" name="Responsible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6">
  <tableColumns count="3">
    <tableColumn id="1" xr3:uid="{FFB5BE72-43DE-47B5-977E-AEBEB8293E0A}" name="Product Owner" dataDxfId="5"/>
    <tableColumn id="2" xr3:uid="{9114A611-9993-47EF-A53E-7D29A6F4A229}" name="Scrum Master" dataDxfId="4"/>
    <tableColumn id="3" xr3:uid="{C21A4105-83F6-4202-B883-337A0BCDDCFE}" name="Team Members" dataDxfId="3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D5516C-E55D-4EA5-B211-AE20A2CFBCC4}" name="Table14" displayName="Table14" ref="A13:B17" totalsRowShown="0" headerRowDxfId="2">
  <tableColumns count="2">
    <tableColumn id="1" xr3:uid="{826D21A2-3DD6-443C-A7D9-4D7D69D4D081}" name="User" dataDxfId="1"/>
    <tableColumn id="2" xr3:uid="{952CF9E3-2B94-4AAB-A033-27B3D19CDA85}" name="Total" dataDxfId="0">
      <calculatedColumnFormula>SUMIF($F$2:$F$10,Table14[[#This Row],[User]],$C$2:$C$10)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17"/>
  <sheetViews>
    <sheetView tabSelected="1" workbookViewId="0">
      <selection activeCell="J8" sqref="J8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5">
        <v>4</v>
      </c>
      <c r="C2" s="5">
        <v>5</v>
      </c>
      <c r="D2" s="5">
        <v>0</v>
      </c>
      <c r="E2" s="5">
        <f>Table1[[#This Row],[Cur. Est.]]-Table1[[#This Row],[Effort]]</f>
        <v>5</v>
      </c>
      <c r="F2" s="4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5">
        <v>3</v>
      </c>
      <c r="C3" s="5">
        <v>4</v>
      </c>
      <c r="D3" s="5">
        <v>0</v>
      </c>
      <c r="E3" s="5">
        <f>Table1[[#This Row],[Cur. Est.]]-Table1[[#This Row],[Effort]]</f>
        <v>4</v>
      </c>
      <c r="F3" s="4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5">
        <v>5</v>
      </c>
      <c r="C4" s="5">
        <v>4</v>
      </c>
      <c r="D4" s="5">
        <v>0</v>
      </c>
      <c r="E4" s="5">
        <v>6</v>
      </c>
      <c r="F4" s="4" t="s">
        <v>13</v>
      </c>
    </row>
    <row r="5" spans="1:10" ht="28.8" x14ac:dyDescent="0.3">
      <c r="A5" s="1" t="s">
        <v>9</v>
      </c>
      <c r="B5" s="5">
        <v>3</v>
      </c>
      <c r="C5" s="5">
        <v>3</v>
      </c>
      <c r="D5" s="5">
        <v>0</v>
      </c>
      <c r="E5" s="5">
        <f>Table1[[#This Row],[Cur. Est.]]-Table1[[#This Row],[Effort]]</f>
        <v>3</v>
      </c>
      <c r="F5" s="4" t="s">
        <v>15</v>
      </c>
    </row>
    <row r="6" spans="1:10" ht="28.8" x14ac:dyDescent="0.3">
      <c r="A6" s="1" t="s">
        <v>7</v>
      </c>
      <c r="B6" s="5">
        <v>4</v>
      </c>
      <c r="C6" s="5">
        <v>3</v>
      </c>
      <c r="D6" s="5">
        <v>0</v>
      </c>
      <c r="E6" s="5">
        <f>Table1[[#This Row],[Cur. Est.]]-Table1[[#This Row],[Effort]]</f>
        <v>3</v>
      </c>
      <c r="F6" s="4" t="s">
        <v>14</v>
      </c>
    </row>
    <row r="7" spans="1:10" ht="28.8" x14ac:dyDescent="0.3">
      <c r="A7" s="1" t="s">
        <v>8</v>
      </c>
      <c r="B7" s="5">
        <v>3</v>
      </c>
      <c r="C7" s="5">
        <v>2</v>
      </c>
      <c r="D7" s="5">
        <v>0</v>
      </c>
      <c r="E7" s="5">
        <f>Table1[[#This Row],[Cur. Est.]]-Table1[[#This Row],[Effort]]</f>
        <v>2</v>
      </c>
      <c r="F7" s="4" t="s">
        <v>14</v>
      </c>
    </row>
    <row r="8" spans="1:10" ht="28.8" x14ac:dyDescent="0.3">
      <c r="A8" s="1" t="s">
        <v>21</v>
      </c>
      <c r="B8" s="5">
        <v>0</v>
      </c>
      <c r="C8" s="5">
        <v>2</v>
      </c>
      <c r="D8" s="5">
        <v>0</v>
      </c>
      <c r="E8" s="5">
        <f>Table1[[#This Row],[Cur. Est.]]-Table1[[#This Row],[Effort]]</f>
        <v>2</v>
      </c>
      <c r="F8" s="4" t="s">
        <v>16</v>
      </c>
    </row>
    <row r="9" spans="1:10" x14ac:dyDescent="0.3">
      <c r="A9" s="1" t="s">
        <v>22</v>
      </c>
      <c r="B9" s="5">
        <v>0</v>
      </c>
      <c r="C9" s="5">
        <v>3</v>
      </c>
      <c r="D9" s="5">
        <v>3</v>
      </c>
      <c r="E9" s="5">
        <f>Table1[[#This Row],[Cur. Est.]]-Table1[[#This Row],[Effort]]</f>
        <v>0</v>
      </c>
      <c r="F9" s="4" t="s">
        <v>14</v>
      </c>
    </row>
    <row r="10" spans="1:10" x14ac:dyDescent="0.3">
      <c r="A10" s="1" t="s">
        <v>23</v>
      </c>
      <c r="B10" s="5">
        <v>0</v>
      </c>
      <c r="C10" s="5">
        <v>3</v>
      </c>
      <c r="D10" s="5">
        <v>0</v>
      </c>
      <c r="E10" s="5">
        <f>Table1[[#This Row],[Cur. Est.]]-Table1[[#This Row],[Effort]]</f>
        <v>3</v>
      </c>
      <c r="F10" s="8"/>
    </row>
    <row r="11" spans="1:10" x14ac:dyDescent="0.3">
      <c r="A11" s="6" t="s">
        <v>19</v>
      </c>
      <c r="B11" s="9">
        <f>SUM(B2:B10)</f>
        <v>22</v>
      </c>
      <c r="C11" s="9">
        <f t="shared" ref="C11:E11" si="0">SUM(C2:C10)</f>
        <v>29</v>
      </c>
      <c r="D11" s="9">
        <f t="shared" si="0"/>
        <v>3</v>
      </c>
      <c r="E11" s="9">
        <f t="shared" si="0"/>
        <v>28</v>
      </c>
      <c r="F11" s="7" t="s">
        <v>20</v>
      </c>
    </row>
    <row r="13" spans="1:10" x14ac:dyDescent="0.3">
      <c r="A13" s="2" t="s">
        <v>24</v>
      </c>
      <c r="B13" s="2" t="s">
        <v>19</v>
      </c>
    </row>
    <row r="14" spans="1:10" x14ac:dyDescent="0.3">
      <c r="A14" s="1" t="s">
        <v>13</v>
      </c>
      <c r="B14" s="5">
        <f>SUMIF($F$2:$F$10,Table14[[#This Row],[User]],$C$2:$C$10)</f>
        <v>9</v>
      </c>
    </row>
    <row r="15" spans="1:10" x14ac:dyDescent="0.3">
      <c r="A15" s="1" t="s">
        <v>14</v>
      </c>
      <c r="B15" s="5">
        <f>SUMIF($F$2:$F$10,Table14[[#This Row],[User]],$C$2:$C$10)</f>
        <v>8</v>
      </c>
    </row>
    <row r="16" spans="1:10" x14ac:dyDescent="0.3">
      <c r="A16" s="1" t="s">
        <v>15</v>
      </c>
      <c r="B16" s="5">
        <f>SUMIF($F$2:$F$10,Table14[[#This Row],[User]],$C$2:$C$10)</f>
        <v>3</v>
      </c>
    </row>
    <row r="17" spans="1:2" x14ac:dyDescent="0.3">
      <c r="A17" s="1" t="s">
        <v>16</v>
      </c>
      <c r="B17" s="5">
        <f>SUMIF($F$2:$F$10,Table14[[#This Row],[User]],$C$2:$C$10)</f>
        <v>6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Pernkopf Viktoria</cp:lastModifiedBy>
  <dcterms:created xsi:type="dcterms:W3CDTF">2026-02-05T19:51:49Z</dcterms:created>
  <dcterms:modified xsi:type="dcterms:W3CDTF">2026-02-11T16:59:55Z</dcterms:modified>
</cp:coreProperties>
</file>