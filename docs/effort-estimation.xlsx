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print 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<sst xmlns="http://schemas.openxmlformats.org/spreadsheetml/2006/main" count="39" uniqueCount="25">
  <si>
    <t xml:space="preserve">Task</t>
  </si>
  <si>
    <t xml:space="preserve">Orig. Est.</t>
  </si>
  <si>
    <t xml:space="preserve">Cur. Est.</t>
  </si>
  <si>
    <t xml:space="preserve">Effort</t>
  </si>
  <si>
    <t xml:space="preserve">Remain</t>
  </si>
  <si>
    <t xml:space="preserve">Responsible</t>
  </si>
  <si>
    <t xml:space="preserve">Product Owner</t>
  </si>
  <si>
    <t xml:space="preserve">Scrum Master</t>
  </si>
  <si>
    <t xml:space="preserve">Team Members</t>
  </si>
  <si>
    <t xml:space="preserve">Backend service and database for basic login</t>
  </si>
  <si>
    <t xml:space="preserve">Ostap Malanyak</t>
  </si>
  <si>
    <t xml:space="preserve">Viktoria Pernkopf</t>
  </si>
  <si>
    <t xml:space="preserve">Audrey Wimmer</t>
  </si>
  <si>
    <t xml:space="preserve">Frontend and routes for basic login</t>
  </si>
  <si>
    <t xml:space="preserve">Antonio Petrov</t>
  </si>
  <si>
    <t xml:space="preserve">Backend service and database for meals</t>
  </si>
  <si>
    <t xml:space="preserve">Frontend and routes for adding a meal</t>
  </si>
  <si>
    <t xml:space="preserve">Backend service and database for room view</t>
  </si>
  <si>
    <t xml:space="preserve">Frontend and routes for room view</t>
  </si>
  <si>
    <t xml:space="preserve">Calendar design for room view</t>
  </si>
  <si>
    <t xml:space="preserve">Set up project structure</t>
  </si>
  <si>
    <t xml:space="preserve">Set up database</t>
  </si>
  <si>
    <t xml:space="preserve">Total</t>
  </si>
  <si>
    <t xml:space="preserve">-</t>
  </si>
  <si>
    <t xml:space="preserve">User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</si>
</sst>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sz val="11"/>
      <color theme="0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Accent1" xfId="20"/>
  </cellStyles>
  <dxfs count="4">
    <dxf>
      <fill>
        <patternFill patternType="solid">
          <fgColor rgb="FF15608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F11" headerRowCount="1" totalsRowCount="0" totalsRowShown="0">
  <tableColumns count="6">
    <tableColumn id="1" name="Task"/>
    <tableColumn id="2" name="Orig. Est."/>
    <tableColumn id="3" name="Cur. Est."/>
    <tableColumn id="4" name="Effort"/>
    <tableColumn id="5" name="Remain"/>
    <tableColumn id="6" name="Responsible"/>
  </tableColumns>
</table>
</file>

<file path=xl/tables/table2.xml><?xml version="1.0" encoding="utf-8"?>
<table xmlns="http://schemas.openxmlformats.org/spreadsheetml/2006/main" id="2" name="Table14" displayName="Table14" ref="A13:B17" headerRowCount="1" totalsRowCount="0" totalsRowShown="0">
  <tableColumns count="2">
    <tableColumn id="1" name="User"/>
    <tableColumn id="2" name="Total"/>
  </tableColumns>
</table>
</file>

<file path=xl/tables/table3.xml><?xml version="1.0" encoding="utf-8"?>
<table xmlns="http://schemas.openxmlformats.org/spreadsheetml/2006/main" id="3" name="Table2" displayName="Table2" ref="H1:J3" headerRowCount="1" totalsRowCount="0" totalsRowShown="0">
  <tableColumns count="3">
    <tableColumn id="1" name="Product Owner"/>
    <tableColumn id="2" name="Scrum Master"/>
    <tableColumn id="3" name="Team Member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24.55"/>
    <col collapsed="false" customWidth="true" hidden="false" outlineLevel="0" max="3" min="2" style="0" width="8.89"/>
    <col collapsed="false" customWidth="true" hidden="false" outlineLevel="0" max="5" min="5" style="0" width="8.89"/>
    <col collapsed="false" customWidth="true" hidden="false" outlineLevel="0" max="6" min="6" style="0" width="16.22"/>
    <col collapsed="false" customWidth="true" hidden="false" outlineLevel="0" max="7" min="7" style="0" width="7.33"/>
    <col collapsed="false" customWidth="true" hidden="false" outlineLevel="0" max="9" min="8" style="0" width="15.55"/>
    <col collapsed="false" customWidth="true" hidden="false" outlineLevel="0" max="10" min="10" style="0" width="15.33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2" t="s">
        <v>6</v>
      </c>
      <c r="I1" s="2" t="s">
        <v>7</v>
      </c>
      <c r="J1" s="2" t="s">
        <v>8</v>
      </c>
    </row>
    <row r="2" customFormat="false" ht="31.3" hidden="false" customHeight="false" outlineLevel="0" collapsed="false">
      <c r="A2" s="3" t="s">
        <v>9</v>
      </c>
      <c r="B2" s="4" t="n">
        <v>4</v>
      </c>
      <c r="C2" s="4" t="n">
        <v>4</v>
      </c>
      <c r="D2" s="4" t="n">
        <v>4</v>
      </c>
      <c r="E2" s="4" t="n">
        <f aca="false">Table1[[#This Row],[Cur. Est.]]-Table1[[#This Row],[Effort]]</f>
        <v>0</v>
      </c>
      <c r="F2" s="5" t="s">
        <v>10</v>
      </c>
      <c r="H2" s="6" t="s">
        <v>10</v>
      </c>
      <c r="I2" s="6" t="s">
        <v>11</v>
      </c>
      <c r="J2" s="6" t="s">
        <v>12</v>
      </c>
    </row>
    <row r="3" customFormat="false" ht="31.3" hidden="false" customHeight="false" outlineLevel="0" collapsed="false">
      <c r="A3" s="3" t="s">
        <v>13</v>
      </c>
      <c r="B3" s="4" t="n">
        <v>3</v>
      </c>
      <c r="C3" s="4" t="n">
        <v>4</v>
      </c>
      <c r="D3" s="4" t="n">
        <v>0</v>
      </c>
      <c r="E3" s="4" t="n">
        <f aca="false">Table1[[#This Row],[Cur. Est.]]-Table1[[#This Row],[Effort]]</f>
        <v>4</v>
      </c>
      <c r="F3" s="5" t="s">
        <v>14</v>
      </c>
      <c r="H3" s="6"/>
      <c r="I3" s="6"/>
      <c r="J3" s="6" t="s">
        <v>14</v>
      </c>
    </row>
    <row r="4" customFormat="false" ht="31.3" hidden="false" customHeight="false" outlineLevel="0" collapsed="false">
      <c r="A4" s="3" t="s">
        <v>15</v>
      </c>
      <c r="B4" s="4" t="n">
        <v>5</v>
      </c>
      <c r="C4" s="4" t="n">
        <v>4</v>
      </c>
      <c r="D4" s="4" t="n">
        <v>0</v>
      </c>
      <c r="E4" s="4" t="n">
        <v>6</v>
      </c>
      <c r="F4" s="5" t="s">
        <v>10</v>
      </c>
    </row>
    <row r="5" customFormat="false" ht="31.3" hidden="false" customHeight="false" outlineLevel="0" collapsed="false">
      <c r="A5" s="3" t="s">
        <v>16</v>
      </c>
      <c r="B5" s="4" t="n">
        <v>3</v>
      </c>
      <c r="C5" s="4" t="n">
        <v>3</v>
      </c>
      <c r="D5" s="4" t="n">
        <v>0</v>
      </c>
      <c r="E5" s="4" t="n">
        <f aca="false">Table1[[#This Row],[Cur. Est.]]-Table1[[#This Row],[Effort]]</f>
        <v>3</v>
      </c>
      <c r="F5" s="5" t="s">
        <v>12</v>
      </c>
    </row>
    <row r="6" customFormat="false" ht="31.3" hidden="false" customHeight="false" outlineLevel="0" collapsed="false">
      <c r="A6" s="3" t="s">
        <v>17</v>
      </c>
      <c r="B6" s="4" t="n">
        <v>4</v>
      </c>
      <c r="C6" s="4" t="n">
        <v>3</v>
      </c>
      <c r="D6" s="4" t="n">
        <v>0</v>
      </c>
      <c r="E6" s="4" t="n">
        <f aca="false">Table1[[#This Row],[Cur. Est.]]-Table1[[#This Row],[Effort]]</f>
        <v>3</v>
      </c>
      <c r="F6" s="5" t="s">
        <v>11</v>
      </c>
    </row>
    <row r="7" customFormat="false" ht="31.3" hidden="false" customHeight="false" outlineLevel="0" collapsed="false">
      <c r="A7" s="3" t="s">
        <v>18</v>
      </c>
      <c r="B7" s="4" t="n">
        <v>3</v>
      </c>
      <c r="C7" s="4" t="n">
        <v>2</v>
      </c>
      <c r="D7" s="4" t="n">
        <v>0</v>
      </c>
      <c r="E7" s="4" t="n">
        <f aca="false">Table1[[#This Row],[Cur. Est.]]-Table1[[#This Row],[Effort]]</f>
        <v>2</v>
      </c>
      <c r="F7" s="5" t="s">
        <v>11</v>
      </c>
    </row>
    <row r="8" customFormat="false" ht="31.3" hidden="false" customHeight="false" outlineLevel="0" collapsed="false">
      <c r="A8" s="3" t="s">
        <v>19</v>
      </c>
      <c r="B8" s="4" t="n">
        <v>0</v>
      </c>
      <c r="C8" s="4" t="n">
        <v>2</v>
      </c>
      <c r="D8" s="4" t="n">
        <v>0</v>
      </c>
      <c r="E8" s="4" t="n">
        <f aca="false">Table1[[#This Row],[Cur. Est.]]-Table1[[#This Row],[Effort]]</f>
        <v>2</v>
      </c>
      <c r="F8" s="5" t="s">
        <v>14</v>
      </c>
    </row>
    <row r="9" customFormat="false" ht="16.4" hidden="false" customHeight="false" outlineLevel="0" collapsed="false">
      <c r="A9" s="3" t="s">
        <v>20</v>
      </c>
      <c r="B9" s="4" t="n">
        <v>0</v>
      </c>
      <c r="C9" s="4" t="n">
        <v>3</v>
      </c>
      <c r="D9" s="4" t="n">
        <v>3</v>
      </c>
      <c r="E9" s="4" t="n">
        <f aca="false">Table1[[#This Row],[Cur. Est.]]-Table1[[#This Row],[Effort]]</f>
        <v>0</v>
      </c>
      <c r="F9" s="5" t="s">
        <v>11</v>
      </c>
    </row>
    <row r="10" customFormat="false" ht="16.4" hidden="false" customHeight="false" outlineLevel="0" collapsed="false">
      <c r="A10" s="3" t="s">
        <v>21</v>
      </c>
      <c r="B10" s="4" t="n">
        <v>0</v>
      </c>
      <c r="C10" s="4" t="n">
        <v>3</v>
      </c>
      <c r="D10" s="4" t="n">
        <v>3</v>
      </c>
      <c r="E10" s="4" t="n">
        <f aca="false">Table1[[#This Row],[Cur. Est.]]-Table1[[#This Row],[Effort]]</f>
        <v>0</v>
      </c>
      <c r="F10" s="5" t="s">
        <v>12</v>
      </c>
    </row>
    <row r="11" customFormat="false" ht="14.25" hidden="false" customHeight="false" outlineLevel="0" collapsed="false">
      <c r="A11" s="7" t="s">
        <v>22</v>
      </c>
      <c r="B11" s="8" t="n">
        <f aca="false">SUM(B2:B10)</f>
        <v>22</v>
      </c>
      <c r="C11" s="8" t="n">
        <f aca="false">SUM(C2:C10)</f>
        <v>28</v>
      </c>
      <c r="D11" s="8" t="n">
        <f aca="false">SUM(D2:D10)</f>
        <v>10</v>
      </c>
      <c r="E11" s="8" t="n">
        <f aca="false">SUM(E2:E10)</f>
        <v>20</v>
      </c>
      <c r="F11" s="9" t="s">
        <v>23</v>
      </c>
    </row>
    <row r="13" customFormat="false" ht="14.25" hidden="false" customHeight="false" outlineLevel="0" collapsed="false">
      <c r="A13" s="1" t="s">
        <v>24</v>
      </c>
      <c r="B13" s="1" t="s">
        <v>22</v>
      </c>
    </row>
    <row r="14" customFormat="false" ht="16.4" hidden="false" customHeight="false" outlineLevel="0" collapsed="false">
      <c r="A14" s="3" t="s">
        <v>10</v>
      </c>
      <c r="B14" s="4" t="n">
        <f aca="false">SUMIF($F$2:$F$10,Table14[[#This Row],[User]],$C$2:$C$10)</f>
        <v>8</v>
      </c>
    </row>
    <row r="15" customFormat="false" ht="16.4" hidden="false" customHeight="false" outlineLevel="0" collapsed="false">
      <c r="A15" s="3" t="s">
        <v>11</v>
      </c>
      <c r="B15" s="4" t="n">
        <f aca="false">SUMIF($F$2:$F$10,Table14[[#This Row],[User]],$C$2:$C$10)</f>
        <v>8</v>
      </c>
    </row>
    <row r="16" customFormat="false" ht="16.4" hidden="false" customHeight="false" outlineLevel="0" collapsed="false">
      <c r="A16" s="3" t="s">
        <v>12</v>
      </c>
      <c r="B16" s="4" t="n">
        <f aca="false">SUMIF($F$2:$F$10,Table14[[#This Row],[User]],$C$2:$C$10)</f>
        <v>6</v>
      </c>
    </row>
    <row r="17" customFormat="false" ht="16.4" hidden="false" customHeight="false" outlineLevel="0" collapsed="false">
      <c r="A17" s="3" t="s">
        <v>14</v>
      </c>
      <c r="B17" s="4" t="n">
        <f aca="false">SUMIF($F$2:$F$10,Table14[[#This Row],[User]],$C$2:$C$10)</f>
        <v>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2026-02-05T19:51:49Z</dcterms:created>
  <dc:creator>Wimmer Audrey</dc:creator>
  <dc:description/>
  <dc:language>en-US</dc:language>
  <cp:lastModifiedBy/>
  <dcterms:modified xsi:type="dcterms:W3CDTF">2026-02-23T09:19:49Z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