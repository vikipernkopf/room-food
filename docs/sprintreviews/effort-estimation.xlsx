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_wim\Downloads\"/>
    </mc:Choice>
  </mc:AlternateContent>
  <xr:revisionPtr revIDLastSave="0" documentId="8_{850A6D84-C4CD-45F4-82E6-24E0A3AB9EF8}" xr6:coauthVersionLast="47" xr6:coauthVersionMax="47" xr10:uidLastSave="{00000000-0000-0000-0000-000000000000}"/>
  <bookViews>
    <workbookView xWindow="-108" yWindow="-108" windowWidth="23256" windowHeight="12456" firstSheet="2" activeTab="4" xr2:uid="{5CD19CBD-F40D-4B07-8DFB-09D007D4B786}"/>
  </bookViews>
  <sheets>
    <sheet name="Sprint 1" sheetId="1" r:id="rId1"/>
    <sheet name="Sprint 2" sheetId="2" r:id="rId2"/>
    <sheet name="Sprint 3" sheetId="3" r:id="rId3"/>
    <sheet name="Sprint 4" sheetId="5" r:id="rId4"/>
    <sheet name="Sprint 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21" i="6"/>
  <c r="E19" i="6"/>
  <c r="E18" i="6"/>
  <c r="E20" i="6"/>
  <c r="E12" i="6"/>
  <c r="B25" i="6"/>
  <c r="B26" i="6"/>
  <c r="B27" i="6"/>
  <c r="B28" i="6"/>
  <c r="E2" i="6"/>
  <c r="E15" i="6"/>
  <c r="E16" i="6"/>
  <c r="E13" i="6"/>
  <c r="E14" i="6"/>
  <c r="D22" i="6"/>
  <c r="C22" i="6"/>
  <c r="B22" i="6"/>
  <c r="E11" i="6"/>
  <c r="E10" i="6"/>
  <c r="E9" i="6"/>
  <c r="E7" i="6"/>
  <c r="E6" i="6"/>
  <c r="E5" i="6"/>
  <c r="E4" i="6"/>
  <c r="E3" i="6"/>
  <c r="B18" i="5"/>
  <c r="B17" i="5"/>
  <c r="B16" i="5"/>
  <c r="B15" i="5"/>
  <c r="D12" i="5"/>
  <c r="C12" i="5"/>
  <c r="B12" i="5"/>
  <c r="E11" i="5"/>
  <c r="E10" i="5"/>
  <c r="E9" i="5"/>
  <c r="E8" i="5"/>
  <c r="E7" i="5"/>
  <c r="E6" i="5"/>
  <c r="E5" i="5"/>
  <c r="E4" i="5"/>
  <c r="E3" i="5"/>
  <c r="E2" i="5"/>
  <c r="B22" i="3"/>
  <c r="B23" i="3"/>
  <c r="B24" i="3"/>
  <c r="B21" i="3"/>
  <c r="C18" i="3"/>
  <c r="D18" i="3"/>
  <c r="B1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4" i="1"/>
  <c r="E15" i="1" s="1"/>
  <c r="C15" i="1"/>
  <c r="D15" i="1"/>
  <c r="B15" i="1"/>
  <c r="C19" i="2"/>
  <c r="D19" i="2"/>
  <c r="B19" i="2"/>
  <c r="C4" i="2"/>
  <c r="C8" i="2"/>
  <c r="C12" i="2"/>
  <c r="C13" i="2"/>
  <c r="C14" i="2"/>
  <c r="C17" i="2"/>
  <c r="C2" i="2"/>
  <c r="B23" i="2"/>
  <c r="B18" i="1"/>
  <c r="E12" i="1"/>
  <c r="E13" i="1"/>
  <c r="E14" i="1"/>
  <c r="B19" i="1"/>
  <c r="B20" i="1"/>
  <c r="B21" i="1"/>
  <c r="E11" i="1"/>
  <c r="E10" i="1"/>
  <c r="E8" i="1"/>
  <c r="E9" i="1"/>
  <c r="E2" i="1"/>
  <c r="E3" i="1"/>
  <c r="E5" i="1"/>
  <c r="E6" i="1"/>
  <c r="E7" i="1"/>
  <c r="E22" i="6" l="1"/>
  <c r="E12" i="5"/>
  <c r="E18" i="3"/>
  <c r="B24" i="2"/>
  <c r="B25" i="2"/>
  <c r="B22" i="2"/>
  <c r="E2" i="2"/>
  <c r="E19" i="2" s="1"/>
</calcChain>
</file>

<file path=xl/sharedStrings.xml><?xml version="1.0" encoding="utf-8"?>
<sst xmlns="http://schemas.openxmlformats.org/spreadsheetml/2006/main" count="258" uniqueCount="84">
  <si>
    <t>Task</t>
  </si>
  <si>
    <t>Effort</t>
  </si>
  <si>
    <t>Remain</t>
  </si>
  <si>
    <t>Responsible</t>
  </si>
  <si>
    <t>Backend service and database for basic login</t>
  </si>
  <si>
    <t>Frontend and routes for basic login</t>
  </si>
  <si>
    <t>Backend service and database for meals</t>
  </si>
  <si>
    <t>Backend service and database for room view</t>
  </si>
  <si>
    <t>Frontend and routes for room view</t>
  </si>
  <si>
    <t>Frontend and routes for adding a meal</t>
  </si>
  <si>
    <t>Product Owner</t>
  </si>
  <si>
    <t>Scrum Master</t>
  </si>
  <si>
    <t>Team Members</t>
  </si>
  <si>
    <t>Ostap Malanyak</t>
  </si>
  <si>
    <t>Viktoria Pernkopf</t>
  </si>
  <si>
    <t>Audrey Wimmer</t>
  </si>
  <si>
    <t>Antonio Petrov</t>
  </si>
  <si>
    <t>Orig. Est.</t>
  </si>
  <si>
    <t>Cur. Est.</t>
  </si>
  <si>
    <t>Total</t>
  </si>
  <si>
    <t>-</t>
  </si>
  <si>
    <t>Set up project structure</t>
  </si>
  <si>
    <t>Set up database</t>
  </si>
  <si>
    <t>User</t>
  </si>
  <si>
    <t>Configure server</t>
  </si>
  <si>
    <t>Login testing</t>
  </si>
  <si>
    <t>Meal adding testing</t>
  </si>
  <si>
    <t>Room view testing</t>
  </si>
  <si>
    <t>Design</t>
  </si>
  <si>
    <t>Login hashing and salting</t>
  </si>
  <si>
    <t>Cookies for account</t>
  </si>
  <si>
    <t>Add possibility to delete your account</t>
  </si>
  <si>
    <t>Add a log out button</t>
  </si>
  <si>
    <t>Adding new properties to user</t>
  </si>
  <si>
    <t>Adding profile page</t>
  </si>
  <si>
    <t>Add functionality for editing an existing meal</t>
  </si>
  <si>
    <t>Calendar design for room view</t>
  </si>
  <si>
    <t>Room backend</t>
  </si>
  <si>
    <t>Create room frontend</t>
  </si>
  <si>
    <t>Edit room frontend</t>
  </si>
  <si>
    <t>Delete room frontend</t>
  </si>
  <si>
    <t>Room overview</t>
  </si>
  <si>
    <t>Invite functionality</t>
  </si>
  <si>
    <t>Control access to pages if not logged in</t>
  </si>
  <si>
    <t>Add error page</t>
  </si>
  <si>
    <t>Unit tests</t>
  </si>
  <si>
    <t>Display information when meal clicked</t>
  </si>
  <si>
    <t>Fix account deleting</t>
  </si>
  <si>
    <t>Improve room overview</t>
  </si>
  <si>
    <t>Improve calendar design for room view</t>
  </si>
  <si>
    <t>Manage room members</t>
  </si>
  <si>
    <t>Improve create room frontend</t>
  </si>
  <si>
    <t>Update product backlog</t>
  </si>
  <si>
    <t>Effort plan</t>
  </si>
  <si>
    <t>Basic recipe creation and overview</t>
  </si>
  <si>
    <t>When adding a meal specify a recipe</t>
  </si>
  <si>
    <t>Add responsible logic to select user</t>
  </si>
  <si>
    <t>x`</t>
  </si>
  <si>
    <t>Ingredients on recipes and room</t>
  </si>
  <si>
    <t>Confirm whether meal has been cooked</t>
  </si>
  <si>
    <t>Meal time validation</t>
  </si>
  <si>
    <t>Manage room style</t>
  </si>
  <si>
    <t>Subscribe to meal</t>
  </si>
  <si>
    <t>Ingredient list functionality</t>
  </si>
  <si>
    <t>Meals overview</t>
  </si>
  <si>
    <t>Create invite links</t>
  </si>
  <si>
    <t>Create api proxy</t>
  </si>
  <si>
    <t>Add possibility to create own ingredients</t>
  </si>
  <si>
    <t>Make ingredients group up in calendars</t>
  </si>
  <si>
    <t>Improve style to match other element items</t>
  </si>
  <si>
    <t>Edit recipe matches create recipe</t>
  </si>
  <si>
    <t>Better view of recipes, ingredients and cooking steps</t>
  </si>
  <si>
    <t>Fix recipe lookup</t>
  </si>
  <si>
    <t>Instead of the word profile put the profile picture</t>
  </si>
  <si>
    <t>User navigation menu when clicked on profile picture</t>
  </si>
  <si>
    <t>Change names of frontend services to "name-frontend-service"</t>
  </si>
  <si>
    <t>Unify styling</t>
  </si>
  <si>
    <t>Make ingredients update when meals are added in calendars</t>
  </si>
  <si>
    <t>Make ingredients be assignable to individual users</t>
  </si>
  <si>
    <t>Bought ingredients or not</t>
  </si>
  <si>
    <t>Update ReadMe</t>
  </si>
  <si>
    <t>Marking removes ingredients</t>
  </si>
  <si>
    <t>Past ingredients unaccountable</t>
  </si>
  <si>
    <t>Improve meal management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</si>
</sst>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2" borderId="0" xfId="1" applyFont="1"/>
    <xf numFmtId="0" fontId="1" fillId="2" borderId="0" xfId="1" quotePrefix="1" applyFont="1" applyAlignment="1">
      <alignment horizontal="center"/>
    </xf>
    <xf numFmtId="1" fontId="1" fillId="2" borderId="0" xfId="1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</cellXfs>
  <cellStyles count="2">
    <cellStyle name="Accent1" xfId="1" builtinId="29"/>
    <cellStyle name="Normal" xfId="0" builtinId="0"/>
  </cellStyles>
  <dxfs count="7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54A41-9CC2-4AA2-8F76-5A18AE412277}" name="Table1" displayName="Table1" ref="A1:F15" totalsRowShown="0" headerRowDxfId="57">
  <tableColumns count="6">
    <tableColumn id="1" xr3:uid="{BD104E6C-3FB2-4028-B39E-1642A4E103F5}" name="Task" dataDxfId="56"/>
    <tableColumn id="2" xr3:uid="{660AA389-84BF-4073-B3DF-146936FB4E81}" name="Orig. Est." dataDxfId="55"/>
    <tableColumn id="3" xr3:uid="{D378DE41-A349-4E73-9DC6-E2AD96D7D4A4}" name="Cur. Est." dataDxfId="54"/>
    <tableColumn id="4" xr3:uid="{946D4402-72BC-47FB-BC27-9032EAD1C753}" name="Effort" dataDxfId="53"/>
    <tableColumn id="5" xr3:uid="{AC96E08D-31C6-4AAC-9707-12BB2EE31872}" name="Remain" dataDxfId="52"/>
    <tableColumn id="6" xr3:uid="{1EC34EF9-51C7-4321-9E8F-6F0F5D21B221}" name="Responsible" dataDxfId="5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BA106-B777-4F33-87EE-B404BD463F96}" name="Table2" displayName="Table2" ref="H1:J3" totalsRowShown="0" dataDxfId="50">
  <tableColumns count="3">
    <tableColumn id="1" xr3:uid="{FFB5BE72-43DE-47B5-977E-AEBEB8293E0A}" name="Product Owner" dataDxfId="49"/>
    <tableColumn id="2" xr3:uid="{9114A611-9993-47EF-A53E-7D29A6F4A229}" name="Scrum Master" dataDxfId="48"/>
    <tableColumn id="3" xr3:uid="{C21A4105-83F6-4202-B883-337A0BCDDCFE}" name="Team Members" dataDxfId="47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D5516C-E55D-4EA5-B211-AE20A2CFBCC4}" name="Table14" displayName="Table14" ref="A17:B21" totalsRowShown="0" headerRowDxfId="46">
  <tableColumns count="2">
    <tableColumn id="1" xr3:uid="{826D21A2-3DD6-443C-A7D9-4D7D69D4D081}" name="User" dataDxfId="45"/>
    <tableColumn id="2" xr3:uid="{952CF9E3-2B94-4AAB-A033-27B3D19CDA85}" name="Total" dataDxfId="44">
      <calculatedColumnFormula>SUMIF($F$2:$F$14,Table14[[#This Row],[User]],$C$2:$C$14)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72189F-29BF-400F-A010-14B1A3F85040}" name="Table15" displayName="Table15" ref="A1:F19" totalsRowShown="0" headerRowDxfId="43">
  <tableColumns count="6">
    <tableColumn id="1" xr3:uid="{F23DD78E-9832-4D69-9866-88B23B4C7197}" name="Task" dataDxfId="42"/>
    <tableColumn id="2" xr3:uid="{12CE1293-031B-41E3-A384-99D9E64BE2AC}" name="Orig. Est." dataDxfId="41"/>
    <tableColumn id="3" xr3:uid="{361FACD2-604B-42E1-951F-E479A19E4F68}" name="Cur. Est." dataDxfId="40"/>
    <tableColumn id="4" xr3:uid="{04FF6573-A625-4DDA-A8A5-A0102C89B784}" name="Effort" dataDxfId="39"/>
    <tableColumn id="5" xr3:uid="{4D2C2CFC-85E4-43DF-AE5D-FBB5274E2BB6}" name="Remain" dataDxfId="38"/>
    <tableColumn id="6" xr3:uid="{65747612-EF52-4B83-9BB7-7096DDBA66E6}" name="Responsible" dataDxfId="3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98A3BB-CD99-4A50-BAE4-D470DD639E89}" name="Table26" displayName="Table26" ref="H1:J3" totalsRowShown="0" dataDxfId="36">
  <tableColumns count="3">
    <tableColumn id="1" xr3:uid="{F4ADF128-D9F1-4DF5-9ABE-6F3FCB334CE2}" name="Product Owner" dataDxfId="35"/>
    <tableColumn id="2" xr3:uid="{EEED3716-B105-46BE-B2AA-AB2245881A37}" name="Scrum Master" dataDxfId="34"/>
    <tableColumn id="3" xr3:uid="{E5E1E5D5-8404-49D4-ABF7-6AE9835F2022}" name="Team Members" dataDxfId="33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470464-FD92-4998-AE54-230A2D4B8316}" name="Table147" displayName="Table147" ref="A21:B25" totalsRowShown="0" headerRowDxfId="32">
  <tableColumns count="2">
    <tableColumn id="1" xr3:uid="{1149A006-89B6-4B0D-9155-4EE279EE42E5}" name="User" dataDxfId="31"/>
    <tableColumn id="2" xr3:uid="{4E4E6EE8-7212-48D4-B6CD-F579FD6C69B8}" name="Total" dataDxfId="30">
      <calculatedColumnFormula>SUMIF($F$2:$F$18,Table147[[#This Row],[User]],$C$2:$C$18)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242BC7-7BA1-47C2-B745-51E394732A0F}" name="Table158" displayName="Table158" ref="A1:F18" totalsRowShown="0" headerRowDxfId="29">
  <tableColumns count="6">
    <tableColumn id="1" xr3:uid="{A84DECB1-3973-4FB4-83EB-001BA7D765F0}" name="Task" dataDxfId="28"/>
    <tableColumn id="2" xr3:uid="{DB9F8A42-1997-4E71-B3BB-439D10E4548A}" name="Orig. Est." dataDxfId="27"/>
    <tableColumn id="3" xr3:uid="{E44059F1-DA21-4620-BFA7-49CA03E555C3}" name="Cur. Est." dataDxfId="26"/>
    <tableColumn id="4" xr3:uid="{A6806941-EC6F-40CE-B8B0-3F6A5A45307C}" name="Effort" dataDxfId="25"/>
    <tableColumn id="5" xr3:uid="{20854449-CB7E-4D4C-B02A-A9ACC270C59C}" name="Remain" dataDxfId="24"/>
    <tableColumn id="6" xr3:uid="{DB8556E9-AE99-4718-89FC-8F25355ADEFC}" name="Responsible" dataDxfId="2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3E612C-BD1E-4CE9-A507-D55FB492CE9F}" name="Table269" displayName="Table269" ref="H1:J3" totalsRowShown="0" dataDxfId="22">
  <tableColumns count="3">
    <tableColumn id="1" xr3:uid="{3A999A87-AA72-4571-ADB8-AA4F179D1B5D}" name="Product Owner" dataDxfId="21"/>
    <tableColumn id="2" xr3:uid="{D40B6100-AF84-4184-8BA8-1F162178A693}" name="Scrum Master" dataDxfId="20"/>
    <tableColumn id="3" xr3:uid="{143EDB00-96BA-493C-9D7A-8110B287CC7C}" name="Team Members" dataDxfId="19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E0C4CA-694A-4E5F-A220-097F881EDECB}" name="Table14710" displayName="Table14710" ref="A20:B24" totalsRowShown="0" headerRowDxfId="18">
  <tableColumns count="2">
    <tableColumn id="1" xr3:uid="{386B9E61-9DE1-4B79-AB63-23310EF88E38}" name="User" dataDxfId="17"/>
    <tableColumn id="2" xr3:uid="{9A117063-BE1F-4990-9074-9282C3766F65}" name="Total" dataDxfId="16">
      <calculatedColumnFormula>SUMIF($F$2:$F$17,Table14710[[#This Row],[User]],$C$2:$C$17)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0028B84-4FD8-4485-90DF-EE2EF01786EA}" name="Table15811" displayName="Table15811" ref="A1:F12" totalsRowShown="0" headerRowDxfId="15">
  <tableColumns count="6">
    <tableColumn id="1" xr3:uid="{6088FE2D-B90A-488D-A571-5916DDEE8D72}" name="Task" dataDxfId="14"/>
    <tableColumn id="2" xr3:uid="{FDEDFE68-0131-4F33-A5C1-C32F15AEB5C0}" name="Orig. Est." dataDxfId="13"/>
    <tableColumn id="3" xr3:uid="{2C8A9443-73E0-4B03-9E49-EC141A4AF176}" name="Cur. Est." dataDxfId="12"/>
    <tableColumn id="4" xr3:uid="{C5379837-7888-438C-947C-4608656A6AF8}" name="Effort" dataDxfId="11"/>
    <tableColumn id="5" xr3:uid="{9424B448-2ECB-4A9C-94E5-42B1C22A384D}" name="Remain" dataDxfId="10"/>
    <tableColumn id="6" xr3:uid="{C33A9F9E-73BA-4993-8732-4D2A32F0F0DF}" name="Responsible" dataDxfId="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F4E948-4A20-44E8-A322-9EF59F0D923F}" name="Table26912" displayName="Table26912" ref="H1:J3" totalsRowShown="0" dataDxfId="8">
  <tableColumns count="3">
    <tableColumn id="1" xr3:uid="{F98D804D-49BE-4604-B037-0573C06980C9}" name="Product Owner" dataDxfId="7"/>
    <tableColumn id="2" xr3:uid="{0F7CFB9F-9D6A-458F-9398-ED738D6605E7}" name="Scrum Master" dataDxfId="6"/>
    <tableColumn id="3" xr3:uid="{4D3D66E7-5308-444D-9299-E5344CEE75B4}" name="Team Members" dataDxfId="5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0C0C24-A374-4609-BF26-0B34D3270520}" name="Table1471013" displayName="Table1471013" ref="A14:B18" totalsRowShown="0" headerRowDxfId="4">
  <tableColumns count="2">
    <tableColumn id="1" xr3:uid="{1CB57F13-95C0-4DF0-BE38-3F019F760617}" name="User" dataDxfId="3"/>
    <tableColumn id="2" xr3:uid="{CF771B0F-E839-48F7-818B-5DCADCA809B7}" name="Total" dataDxfId="2">
      <calculatedColumnFormula>SUMIF($F$2:$F$11,Table1471013[[#This Row],[User]],$C$2:$C$11)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B47FFE-026F-428E-AEF4-632BAB6F0C51}" name="Table1581114" displayName="Table1581114" ref="A1:F23" totalsRowShown="0" headerRowDxfId="69">
  <autoFilter ref="A1:F23" xr:uid="{31B47FFE-026F-428E-AEF4-632BAB6F0C51}"/>
  <tableColumns count="6">
    <tableColumn id="1" xr3:uid="{075C51EB-3298-4622-B6AA-BC13F48DB301}" name="Task" dataDxfId="68"/>
    <tableColumn id="2" xr3:uid="{6C68B4FF-4913-4DA3-8206-589FDCE558D8}" name="Orig. Est." dataDxfId="67"/>
    <tableColumn id="3" xr3:uid="{D973F79D-807A-435B-A1B0-2CDE658A2F8A}" name="Cur. Est." dataDxfId="66"/>
    <tableColumn id="4" xr3:uid="{FBBED0BC-C81E-4B66-9299-D39D23C65B33}" name="Effort" dataDxfId="65"/>
    <tableColumn id="5" xr3:uid="{26D44224-DFA2-4C3F-B2B4-845F893C4186}" name="Remain" dataDxfId="1"/>
    <tableColumn id="6" xr3:uid="{C7CEADB8-16D2-4F16-A85D-19A36D0B7265}" name="Responsible" dataDxfId="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9577E8-C983-40D1-9CB2-75781C3A16F0}" name="Table2691215" displayName="Table2691215" ref="H1:J3" totalsRowShown="0" dataDxfId="64">
  <tableColumns count="3">
    <tableColumn id="1" xr3:uid="{F6645DC0-FE80-440A-9F82-E222C8463A06}" name="Product Owner" dataDxfId="63"/>
    <tableColumn id="2" xr3:uid="{C3C81183-FE7F-46FB-AB9D-2700769DD214}" name="Scrum Master" dataDxfId="62"/>
    <tableColumn id="3" xr3:uid="{DBD3DF92-FD82-4314-AE03-66DF467570BA}" name="Team Members" dataDxfId="61"/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5148BEC-0A5D-46CB-A1D4-1731419497BD}" name="Table147101316" displayName="Table147101316" ref="A24:B28" totalsRowShown="0" headerRowDxfId="60">
  <tableColumns count="2">
    <tableColumn id="1" xr3:uid="{86340463-96D1-44FE-AE0E-9E8581D424E8}" name="User" dataDxfId="59"/>
    <tableColumn id="2" xr3:uid="{79E60D91-164B-4B3A-B621-CE040B258654}" name="Total" dataDxfId="58">
      <calculatedColumnFormula>SUMIF($F$2:$F$21,Table147101316[[#This Row],[User]],$C$2:$C$21)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C809-4925-4E43-BBA5-39B0B2941B89}">
  <dimension ref="A1:J21"/>
  <sheetViews>
    <sheetView workbookViewId="0">
      <selection activeCell="E15" sqref="E15"/>
    </sheetView>
  </sheetViews>
  <sheetFormatPr defaultRowHeight="14.4" x14ac:dyDescent="0.3"/>
  <cols>
    <col min="1" max="1" width="24.5546875" customWidth="1"/>
    <col min="2" max="3" width="8.88671875" customWidth="1"/>
    <col min="5" max="5" width="8.88671875" customWidth="1"/>
    <col min="6" max="6" width="16.21875" customWidth="1"/>
    <col min="7" max="7" width="7.33203125" customWidth="1"/>
    <col min="8" max="9" width="15.5546875" customWidth="1"/>
    <col min="10" max="10" width="15.33203125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ht="28.8" x14ac:dyDescent="0.3">
      <c r="A2" s="1" t="s">
        <v>4</v>
      </c>
      <c r="B2" s="4">
        <v>4</v>
      </c>
      <c r="C2" s="4">
        <v>4</v>
      </c>
      <c r="D2" s="4">
        <v>4</v>
      </c>
      <c r="E2" s="4">
        <f>Table1[[#This Row],[Cur. Est.]]-Table1[[#This Row],[Effort]]</f>
        <v>0</v>
      </c>
      <c r="F2" s="3" t="s">
        <v>13</v>
      </c>
      <c r="H2" s="3" t="s">
        <v>13</v>
      </c>
      <c r="I2" s="3" t="s">
        <v>14</v>
      </c>
      <c r="J2" s="3" t="s">
        <v>15</v>
      </c>
    </row>
    <row r="3" spans="1:10" ht="28.8" x14ac:dyDescent="0.3">
      <c r="A3" s="1" t="s">
        <v>5</v>
      </c>
      <c r="B3" s="4">
        <v>3</v>
      </c>
      <c r="C3" s="4">
        <v>12</v>
      </c>
      <c r="D3" s="4">
        <v>12</v>
      </c>
      <c r="E3" s="4">
        <f>Table1[[#This Row],[Cur. Est.]]-Table1[[#This Row],[Effort]]</f>
        <v>0</v>
      </c>
      <c r="F3" s="3" t="s">
        <v>16</v>
      </c>
      <c r="H3" s="3"/>
      <c r="I3" s="3"/>
      <c r="J3" s="3" t="s">
        <v>16</v>
      </c>
    </row>
    <row r="4" spans="1:10" ht="28.8" x14ac:dyDescent="0.3">
      <c r="A4" s="1" t="s">
        <v>6</v>
      </c>
      <c r="B4" s="4">
        <v>5</v>
      </c>
      <c r="C4" s="4">
        <v>6</v>
      </c>
      <c r="D4" s="4">
        <v>6</v>
      </c>
      <c r="E4" s="4">
        <f>Table1[[#This Row],[Cur. Est.]]-Table1[[#This Row],[Effort]]</f>
        <v>0</v>
      </c>
      <c r="F4" s="3" t="s">
        <v>13</v>
      </c>
    </row>
    <row r="5" spans="1:10" ht="28.8" x14ac:dyDescent="0.3">
      <c r="A5" s="1" t="s">
        <v>9</v>
      </c>
      <c r="B5" s="4">
        <v>3</v>
      </c>
      <c r="C5" s="4">
        <v>10</v>
      </c>
      <c r="D5" s="4">
        <v>10</v>
      </c>
      <c r="E5" s="4">
        <f>Table1[[#This Row],[Cur. Est.]]-Table1[[#This Row],[Effort]]</f>
        <v>0</v>
      </c>
      <c r="F5" s="3" t="s">
        <v>15</v>
      </c>
    </row>
    <row r="6" spans="1:10" ht="28.8" x14ac:dyDescent="0.3">
      <c r="A6" s="1" t="s">
        <v>7</v>
      </c>
      <c r="B6" s="4">
        <v>4</v>
      </c>
      <c r="C6" s="4">
        <v>2</v>
      </c>
      <c r="D6" s="4">
        <v>2</v>
      </c>
      <c r="E6" s="4">
        <f>Table1[[#This Row],[Cur. Est.]]-Table1[[#This Row],[Effort]]</f>
        <v>0</v>
      </c>
      <c r="F6" s="3" t="s">
        <v>14</v>
      </c>
    </row>
    <row r="7" spans="1:10" ht="28.8" x14ac:dyDescent="0.3">
      <c r="A7" s="1" t="s">
        <v>8</v>
      </c>
      <c r="B7" s="4">
        <v>3</v>
      </c>
      <c r="C7" s="4">
        <v>5</v>
      </c>
      <c r="D7" s="4">
        <v>5</v>
      </c>
      <c r="E7" s="4">
        <f>Table1[[#This Row],[Cur. Est.]]-Table1[[#This Row],[Effort]]</f>
        <v>0</v>
      </c>
      <c r="F7" s="3" t="s">
        <v>14</v>
      </c>
    </row>
    <row r="8" spans="1:10" x14ac:dyDescent="0.3">
      <c r="A8" s="1" t="s">
        <v>21</v>
      </c>
      <c r="B8" s="4">
        <v>0</v>
      </c>
      <c r="C8" s="4">
        <v>3</v>
      </c>
      <c r="D8" s="4">
        <v>3</v>
      </c>
      <c r="E8" s="4">
        <f>Table1[[#This Row],[Cur. Est.]]-Table1[[#This Row],[Effort]]</f>
        <v>0</v>
      </c>
      <c r="F8" s="3" t="s">
        <v>14</v>
      </c>
    </row>
    <row r="9" spans="1:10" x14ac:dyDescent="0.3">
      <c r="A9" s="1" t="s">
        <v>22</v>
      </c>
      <c r="B9" s="4">
        <v>0</v>
      </c>
      <c r="C9" s="4">
        <v>3</v>
      </c>
      <c r="D9" s="4">
        <v>3</v>
      </c>
      <c r="E9" s="4">
        <f>Table1[[#This Row],[Cur. Est.]]-Table1[[#This Row],[Effort]]</f>
        <v>0</v>
      </c>
      <c r="F9" s="3" t="s">
        <v>14</v>
      </c>
    </row>
    <row r="10" spans="1:10" x14ac:dyDescent="0.3">
      <c r="A10" s="1" t="s">
        <v>24</v>
      </c>
      <c r="B10" s="4">
        <v>0</v>
      </c>
      <c r="C10" s="4">
        <v>6</v>
      </c>
      <c r="D10" s="4">
        <v>6</v>
      </c>
      <c r="E10" s="4">
        <f>Table1[[#This Row],[Cur. Est.]]-Table1[[#This Row],[Effort]]</f>
        <v>0</v>
      </c>
      <c r="F10" s="3" t="s">
        <v>14</v>
      </c>
    </row>
    <row r="11" spans="1:10" x14ac:dyDescent="0.3">
      <c r="A11" s="1" t="s">
        <v>28</v>
      </c>
      <c r="B11" s="4">
        <v>0</v>
      </c>
      <c r="C11" s="4">
        <v>2</v>
      </c>
      <c r="D11" s="4">
        <v>2</v>
      </c>
      <c r="E11" s="4">
        <f>Table1[[#This Row],[Cur. Est.]]-Table1[[#This Row],[Effort]]</f>
        <v>0</v>
      </c>
      <c r="F11" s="3" t="s">
        <v>15</v>
      </c>
    </row>
    <row r="12" spans="1:10" x14ac:dyDescent="0.3">
      <c r="A12" s="1" t="s">
        <v>25</v>
      </c>
      <c r="B12" s="4">
        <v>0</v>
      </c>
      <c r="C12" s="8">
        <v>0.5</v>
      </c>
      <c r="D12" s="8">
        <v>0.5</v>
      </c>
      <c r="E12" s="4">
        <f>Table1[[#This Row],[Cur. Est.]]-Table1[[#This Row],[Effort]]</f>
        <v>0</v>
      </c>
      <c r="F12" s="3" t="s">
        <v>13</v>
      </c>
    </row>
    <row r="13" spans="1:10" x14ac:dyDescent="0.3">
      <c r="A13" s="1" t="s">
        <v>26</v>
      </c>
      <c r="B13" s="4">
        <v>0</v>
      </c>
      <c r="C13" s="8">
        <v>0.5</v>
      </c>
      <c r="D13" s="8">
        <v>0.5</v>
      </c>
      <c r="E13" s="4">
        <f>Table1[[#This Row],[Cur. Est.]]-Table1[[#This Row],[Effort]]</f>
        <v>0</v>
      </c>
      <c r="F13" s="3" t="s">
        <v>13</v>
      </c>
    </row>
    <row r="14" spans="1:10" x14ac:dyDescent="0.3">
      <c r="A14" s="1" t="s">
        <v>27</v>
      </c>
      <c r="B14" s="4">
        <v>0</v>
      </c>
      <c r="C14" s="8">
        <v>0.5</v>
      </c>
      <c r="D14" s="8">
        <v>0.5</v>
      </c>
      <c r="E14" s="4">
        <f>Table1[[#This Row],[Cur. Est.]]-Table1[[#This Row],[Effort]]</f>
        <v>0</v>
      </c>
      <c r="F14" s="3" t="s">
        <v>14</v>
      </c>
    </row>
    <row r="15" spans="1:10" x14ac:dyDescent="0.3">
      <c r="A15" s="5" t="s">
        <v>19</v>
      </c>
      <c r="B15" s="7">
        <f>SUM(B2:B14)</f>
        <v>22</v>
      </c>
      <c r="C15" s="7">
        <f t="shared" ref="C15:E15" si="0">SUM(C2:C14)</f>
        <v>54.5</v>
      </c>
      <c r="D15" s="7">
        <f t="shared" si="0"/>
        <v>54.5</v>
      </c>
      <c r="E15" s="7">
        <f t="shared" si="0"/>
        <v>0</v>
      </c>
      <c r="F15" s="6" t="s">
        <v>20</v>
      </c>
    </row>
    <row r="17" spans="1:2" x14ac:dyDescent="0.3">
      <c r="A17" s="2" t="s">
        <v>23</v>
      </c>
      <c r="B17" s="2" t="s">
        <v>19</v>
      </c>
    </row>
    <row r="18" spans="1:2" x14ac:dyDescent="0.3">
      <c r="A18" s="1" t="s">
        <v>13</v>
      </c>
      <c r="B18" s="4">
        <f>SUMIF($F$2:$F$14,Table14[[#This Row],[User]],$C$2:$C$14)</f>
        <v>11</v>
      </c>
    </row>
    <row r="19" spans="1:2" x14ac:dyDescent="0.3">
      <c r="A19" s="1" t="s">
        <v>14</v>
      </c>
      <c r="B19" s="8">
        <f>SUMIF($F$2:$F$14,Table14[[#This Row],[User]],$C$2:$C$14)</f>
        <v>19.5</v>
      </c>
    </row>
    <row r="20" spans="1:2" x14ac:dyDescent="0.3">
      <c r="A20" s="1" t="s">
        <v>15</v>
      </c>
      <c r="B20" s="4">
        <f>SUMIF($F$2:$F$14,Table14[[#This Row],[User]],$C$2:$C$14)</f>
        <v>12</v>
      </c>
    </row>
    <row r="21" spans="1:2" x14ac:dyDescent="0.3">
      <c r="A21" s="1" t="s">
        <v>16</v>
      </c>
      <c r="B21" s="4">
        <f>SUMIF($F$2:$F$14,Table14[[#This Row],[User]],$C$2:$C$14)</f>
        <v>12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3E00-EDB7-4DA6-9F4F-93B305E2C6ED}">
  <dimension ref="A1:J25"/>
  <sheetViews>
    <sheetView workbookViewId="0">
      <selection activeCell="E24" sqref="E24"/>
    </sheetView>
  </sheetViews>
  <sheetFormatPr defaultRowHeight="14.4" x14ac:dyDescent="0.3"/>
  <cols>
    <col min="1" max="1" width="36.109375" bestFit="1" customWidth="1"/>
    <col min="2" max="3" width="8.88671875" customWidth="1"/>
    <col min="5" max="5" width="8.88671875" customWidth="1"/>
    <col min="6" max="6" width="16.21875" customWidth="1"/>
    <col min="7" max="7" width="7.33203125" customWidth="1"/>
    <col min="8" max="9" width="15.5546875" customWidth="1"/>
    <col min="10" max="10" width="15.33203125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x14ac:dyDescent="0.3">
      <c r="A2" t="s">
        <v>29</v>
      </c>
      <c r="B2" s="4">
        <v>2</v>
      </c>
      <c r="C2" s="4">
        <f>Table15[[#This Row],[Orig. Est.]]</f>
        <v>2</v>
      </c>
      <c r="D2" s="4">
        <v>2</v>
      </c>
      <c r="E2" s="4">
        <f>Table15[[#This Row],[Cur. Est.]]-Table15[[#This Row],[Effort]]</f>
        <v>0</v>
      </c>
      <c r="F2" s="9" t="s">
        <v>16</v>
      </c>
      <c r="H2" s="3" t="s">
        <v>16</v>
      </c>
      <c r="I2" s="3" t="s">
        <v>15</v>
      </c>
      <c r="J2" s="3" t="s">
        <v>14</v>
      </c>
    </row>
    <row r="3" spans="1:10" x14ac:dyDescent="0.3">
      <c r="A3" t="s">
        <v>30</v>
      </c>
      <c r="B3" s="8">
        <v>2.5</v>
      </c>
      <c r="C3" s="4">
        <v>3</v>
      </c>
      <c r="D3" s="4">
        <v>3</v>
      </c>
      <c r="E3" s="4">
        <f>Table15[[#This Row],[Cur. Est.]]-Table15[[#This Row],[Effort]]</f>
        <v>0</v>
      </c>
      <c r="F3" s="9" t="s">
        <v>16</v>
      </c>
      <c r="H3" s="3"/>
      <c r="I3" s="3"/>
      <c r="J3" s="3" t="s">
        <v>13</v>
      </c>
    </row>
    <row r="4" spans="1:10" x14ac:dyDescent="0.3">
      <c r="A4" t="s">
        <v>31</v>
      </c>
      <c r="B4" s="4">
        <v>3</v>
      </c>
      <c r="C4" s="4">
        <f>Table15[[#This Row],[Orig. Est.]]</f>
        <v>3</v>
      </c>
      <c r="D4" s="4">
        <v>3</v>
      </c>
      <c r="E4" s="4">
        <f>Table15[[#This Row],[Cur. Est.]]-Table15[[#This Row],[Effort]]</f>
        <v>0</v>
      </c>
      <c r="F4" s="9" t="s">
        <v>16</v>
      </c>
    </row>
    <row r="5" spans="1:10" x14ac:dyDescent="0.3">
      <c r="A5" t="s">
        <v>32</v>
      </c>
      <c r="B5" s="4">
        <v>3</v>
      </c>
      <c r="C5" s="8">
        <v>0.5</v>
      </c>
      <c r="D5" s="8">
        <v>0.5</v>
      </c>
      <c r="E5" s="4">
        <f>Table15[[#This Row],[Cur. Est.]]-Table15[[#This Row],[Effort]]</f>
        <v>0</v>
      </c>
      <c r="F5" s="9" t="s">
        <v>16</v>
      </c>
    </row>
    <row r="6" spans="1:10" x14ac:dyDescent="0.3">
      <c r="A6" t="s">
        <v>33</v>
      </c>
      <c r="B6" s="4">
        <v>4</v>
      </c>
      <c r="C6" s="4">
        <v>1</v>
      </c>
      <c r="D6" s="4">
        <v>1</v>
      </c>
      <c r="E6" s="4">
        <f>Table15[[#This Row],[Cur. Est.]]-Table15[[#This Row],[Effort]]</f>
        <v>0</v>
      </c>
      <c r="F6" s="9" t="s">
        <v>14</v>
      </c>
    </row>
    <row r="7" spans="1:10" x14ac:dyDescent="0.3">
      <c r="A7" t="s">
        <v>34</v>
      </c>
      <c r="B7" s="4">
        <v>4</v>
      </c>
      <c r="C7" s="4">
        <v>3</v>
      </c>
      <c r="D7" s="4">
        <v>3</v>
      </c>
      <c r="E7" s="4">
        <f>Table15[[#This Row],[Cur. Est.]]-Table15[[#This Row],[Effort]]</f>
        <v>0</v>
      </c>
      <c r="F7" s="9" t="s">
        <v>14</v>
      </c>
    </row>
    <row r="8" spans="1:10" x14ac:dyDescent="0.3">
      <c r="A8" t="s">
        <v>35</v>
      </c>
      <c r="B8" s="4">
        <v>2</v>
      </c>
      <c r="C8" s="4">
        <f>Table15[[#This Row],[Orig. Est.]]</f>
        <v>2</v>
      </c>
      <c r="D8" s="4">
        <v>2</v>
      </c>
      <c r="E8" s="4">
        <f>Table15[[#This Row],[Cur. Est.]]-Table15[[#This Row],[Effort]]</f>
        <v>0</v>
      </c>
      <c r="F8" s="9" t="s">
        <v>14</v>
      </c>
    </row>
    <row r="9" spans="1:10" x14ac:dyDescent="0.3">
      <c r="A9" t="s">
        <v>36</v>
      </c>
      <c r="B9" s="4">
        <v>4</v>
      </c>
      <c r="C9" s="8">
        <v>4.5</v>
      </c>
      <c r="D9" s="8">
        <v>4.5</v>
      </c>
      <c r="E9" s="4">
        <f>Table15[[#This Row],[Cur. Est.]]-Table15[[#This Row],[Effort]]</f>
        <v>0</v>
      </c>
      <c r="F9" s="9" t="s">
        <v>15</v>
      </c>
    </row>
    <row r="10" spans="1:10" x14ac:dyDescent="0.3">
      <c r="A10" t="s">
        <v>37</v>
      </c>
      <c r="B10" s="4">
        <v>4</v>
      </c>
      <c r="C10" s="4">
        <v>3</v>
      </c>
      <c r="D10" s="4">
        <v>3</v>
      </c>
      <c r="E10" s="4">
        <f>Table15[[#This Row],[Cur. Est.]]-Table15[[#This Row],[Effort]]</f>
        <v>0</v>
      </c>
      <c r="F10" s="9" t="s">
        <v>13</v>
      </c>
    </row>
    <row r="11" spans="1:10" x14ac:dyDescent="0.3">
      <c r="A11" t="s">
        <v>38</v>
      </c>
      <c r="B11" s="4">
        <v>3</v>
      </c>
      <c r="C11" s="4">
        <v>3</v>
      </c>
      <c r="D11" s="4">
        <v>3</v>
      </c>
      <c r="E11" s="4">
        <f>Table15[[#This Row],[Cur. Est.]]-Table15[[#This Row],[Effort]]</f>
        <v>0</v>
      </c>
      <c r="F11" s="9" t="s">
        <v>13</v>
      </c>
    </row>
    <row r="12" spans="1:10" x14ac:dyDescent="0.3">
      <c r="A12" t="s">
        <v>39</v>
      </c>
      <c r="B12" s="4">
        <v>1</v>
      </c>
      <c r="C12" s="4">
        <f>Table15[[#This Row],[Orig. Est.]]</f>
        <v>1</v>
      </c>
      <c r="D12" s="4">
        <v>1</v>
      </c>
      <c r="E12" s="4">
        <f>Table15[[#This Row],[Cur. Est.]]-Table15[[#This Row],[Effort]]</f>
        <v>0</v>
      </c>
      <c r="F12" s="9" t="s">
        <v>13</v>
      </c>
    </row>
    <row r="13" spans="1:10" x14ac:dyDescent="0.3">
      <c r="A13" t="s">
        <v>40</v>
      </c>
      <c r="B13" s="4">
        <v>1</v>
      </c>
      <c r="C13" s="4">
        <f>Table15[[#This Row],[Orig. Est.]]</f>
        <v>1</v>
      </c>
      <c r="D13" s="4">
        <v>1</v>
      </c>
      <c r="E13" s="4">
        <f>Table15[[#This Row],[Cur. Est.]]-Table15[[#This Row],[Effort]]</f>
        <v>0</v>
      </c>
      <c r="F13" s="9" t="s">
        <v>13</v>
      </c>
    </row>
    <row r="14" spans="1:10" x14ac:dyDescent="0.3">
      <c r="A14" t="s">
        <v>41</v>
      </c>
      <c r="B14" s="4">
        <v>3</v>
      </c>
      <c r="C14" s="4">
        <f>Table15[[#This Row],[Orig. Est.]]</f>
        <v>3</v>
      </c>
      <c r="D14" s="4">
        <v>3</v>
      </c>
      <c r="E14" s="4">
        <f>Table15[[#This Row],[Cur. Est.]]-Table15[[#This Row],[Effort]]</f>
        <v>0</v>
      </c>
      <c r="F14" s="9" t="s">
        <v>15</v>
      </c>
    </row>
    <row r="15" spans="1:10" x14ac:dyDescent="0.3">
      <c r="A15" t="s">
        <v>42</v>
      </c>
      <c r="B15" s="4">
        <v>3</v>
      </c>
      <c r="C15" s="4">
        <v>2</v>
      </c>
      <c r="D15" s="4">
        <v>2</v>
      </c>
      <c r="E15" s="4">
        <f>Table15[[#This Row],[Cur. Est.]]-Table15[[#This Row],[Effort]]</f>
        <v>0</v>
      </c>
      <c r="F15" s="9" t="s">
        <v>13</v>
      </c>
    </row>
    <row r="16" spans="1:10" x14ac:dyDescent="0.3">
      <c r="A16" t="s">
        <v>43</v>
      </c>
      <c r="B16" s="4">
        <v>2</v>
      </c>
      <c r="C16" s="4">
        <v>1</v>
      </c>
      <c r="D16" s="4">
        <v>1</v>
      </c>
      <c r="E16" s="4">
        <f>Table15[[#This Row],[Cur. Est.]]-Table15[[#This Row],[Effort]]</f>
        <v>0</v>
      </c>
      <c r="F16" s="9" t="s">
        <v>15</v>
      </c>
    </row>
    <row r="17" spans="1:6" x14ac:dyDescent="0.3">
      <c r="A17" t="s">
        <v>44</v>
      </c>
      <c r="B17" s="4">
        <v>1</v>
      </c>
      <c r="C17" s="4">
        <f>Table15[[#This Row],[Orig. Est.]]</f>
        <v>1</v>
      </c>
      <c r="D17" s="4">
        <v>1</v>
      </c>
      <c r="E17" s="4">
        <f>Table15[[#This Row],[Cur. Est.]]-Table15[[#This Row],[Effort]]</f>
        <v>0</v>
      </c>
      <c r="F17" s="9" t="s">
        <v>13</v>
      </c>
    </row>
    <row r="18" spans="1:6" x14ac:dyDescent="0.3">
      <c r="A18" t="s">
        <v>45</v>
      </c>
      <c r="B18" s="4">
        <v>2</v>
      </c>
      <c r="C18" s="4">
        <v>2</v>
      </c>
      <c r="D18" s="4">
        <v>2</v>
      </c>
      <c r="E18" s="4">
        <f>Table15[[#This Row],[Cur. Est.]]-Table15[[#This Row],[Effort]]</f>
        <v>0</v>
      </c>
      <c r="F18" s="9" t="s">
        <v>14</v>
      </c>
    </row>
    <row r="19" spans="1:6" x14ac:dyDescent="0.3">
      <c r="A19" s="5" t="s">
        <v>19</v>
      </c>
      <c r="B19" s="7">
        <f>SUM(B2:B18)</f>
        <v>44.5</v>
      </c>
      <c r="C19" s="7">
        <f t="shared" ref="C19:E19" si="0">SUM(C2:C18)</f>
        <v>36</v>
      </c>
      <c r="D19" s="7">
        <f t="shared" si="0"/>
        <v>36</v>
      </c>
      <c r="E19" s="7">
        <f t="shared" si="0"/>
        <v>0</v>
      </c>
      <c r="F19" s="6" t="s">
        <v>20</v>
      </c>
    </row>
    <row r="21" spans="1:6" x14ac:dyDescent="0.3">
      <c r="A21" s="2" t="s">
        <v>23</v>
      </c>
      <c r="B21" s="2" t="s">
        <v>19</v>
      </c>
    </row>
    <row r="22" spans="1:6" x14ac:dyDescent="0.3">
      <c r="A22" s="1" t="s">
        <v>13</v>
      </c>
      <c r="B22" s="4">
        <f>SUMIF($F$2:$F$18,Table147[[#This Row],[User]],$C$2:$C$18)</f>
        <v>11</v>
      </c>
    </row>
    <row r="23" spans="1:6" x14ac:dyDescent="0.3">
      <c r="A23" s="1" t="s">
        <v>14</v>
      </c>
      <c r="B23" s="4">
        <f>SUMIF($F$2:$F$18,Table147[[#This Row],[User]],$C$2:$C$18)</f>
        <v>8</v>
      </c>
    </row>
    <row r="24" spans="1:6" x14ac:dyDescent="0.3">
      <c r="A24" s="1" t="s">
        <v>15</v>
      </c>
      <c r="B24" s="8">
        <f>SUMIF($F$2:$F$18,Table147[[#This Row],[User]],$C$2:$C$18)</f>
        <v>8.5</v>
      </c>
    </row>
    <row r="25" spans="1:6" x14ac:dyDescent="0.3">
      <c r="A25" s="1" t="s">
        <v>16</v>
      </c>
      <c r="B25" s="8">
        <f>SUMIF($F$2:$F$18,Table147[[#This Row],[User]],$C$2:$C$18)</f>
        <v>8.5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7D90-8CEA-4EC7-8FD9-A7AA2811F7E2}">
  <dimension ref="A1:J24"/>
  <sheetViews>
    <sheetView workbookViewId="0">
      <selection activeCell="J16" sqref="J16"/>
    </sheetView>
  </sheetViews>
  <sheetFormatPr defaultRowHeight="14.4" x14ac:dyDescent="0.3"/>
  <cols>
    <col min="1" max="1" width="32" bestFit="1" customWidth="1"/>
    <col min="2" max="2" width="8.44140625" bestFit="1" customWidth="1"/>
    <col min="3" max="3" width="7.88671875" bestFit="1" customWidth="1"/>
    <col min="4" max="4" width="5.44140625" bestFit="1" customWidth="1"/>
    <col min="5" max="5" width="7.33203125" bestFit="1" customWidth="1"/>
    <col min="6" max="6" width="14.77734375" bestFit="1" customWidth="1"/>
    <col min="8" max="8" width="13.88671875" bestFit="1" customWidth="1"/>
    <col min="9" max="9" width="13.77734375" bestFit="1" customWidth="1"/>
    <col min="10" max="10" width="14.77734375" bestFit="1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x14ac:dyDescent="0.3">
      <c r="A2" t="s">
        <v>29</v>
      </c>
      <c r="B2" s="4">
        <v>2</v>
      </c>
      <c r="C2" s="4">
        <v>2</v>
      </c>
      <c r="D2" s="4">
        <v>2</v>
      </c>
      <c r="E2" s="4">
        <f>Table158[[#This Row],[Cur. Est.]]-Table158[[#This Row],[Effort]]</f>
        <v>0</v>
      </c>
      <c r="F2" s="3" t="s">
        <v>16</v>
      </c>
      <c r="H2" s="3" t="s">
        <v>15</v>
      </c>
      <c r="I2" s="3" t="s">
        <v>13</v>
      </c>
      <c r="J2" s="3" t="s">
        <v>14</v>
      </c>
    </row>
    <row r="3" spans="1:10" x14ac:dyDescent="0.3">
      <c r="A3" t="s">
        <v>30</v>
      </c>
      <c r="B3" s="4">
        <v>5</v>
      </c>
      <c r="C3" s="4">
        <v>5</v>
      </c>
      <c r="D3" s="4">
        <v>5</v>
      </c>
      <c r="E3" s="4">
        <f>Table158[[#This Row],[Cur. Est.]]-Table158[[#This Row],[Effort]]</f>
        <v>0</v>
      </c>
      <c r="F3" s="3" t="s">
        <v>16</v>
      </c>
      <c r="H3" s="3"/>
      <c r="I3" s="3"/>
      <c r="J3" s="3" t="s">
        <v>16</v>
      </c>
    </row>
    <row r="4" spans="1:10" x14ac:dyDescent="0.3">
      <c r="A4" t="s">
        <v>46</v>
      </c>
      <c r="B4" s="4">
        <v>1</v>
      </c>
      <c r="C4" s="4">
        <v>3</v>
      </c>
      <c r="D4" s="4">
        <v>3</v>
      </c>
      <c r="E4" s="4">
        <f>Table158[[#This Row],[Cur. Est.]]-Table158[[#This Row],[Effort]]</f>
        <v>0</v>
      </c>
      <c r="F4" s="3" t="s">
        <v>16</v>
      </c>
    </row>
    <row r="5" spans="1:10" x14ac:dyDescent="0.3">
      <c r="A5" t="s">
        <v>47</v>
      </c>
      <c r="B5" s="4">
        <v>1</v>
      </c>
      <c r="C5" s="4">
        <v>2</v>
      </c>
      <c r="D5" s="4">
        <v>2</v>
      </c>
      <c r="E5" s="4">
        <f>Table158[[#This Row],[Cur. Est.]]-Table158[[#This Row],[Effort]]</f>
        <v>0</v>
      </c>
      <c r="F5" s="3" t="s">
        <v>16</v>
      </c>
    </row>
    <row r="6" spans="1:10" x14ac:dyDescent="0.3">
      <c r="A6" t="s">
        <v>48</v>
      </c>
      <c r="B6" s="4">
        <v>2</v>
      </c>
      <c r="C6" s="4">
        <v>3</v>
      </c>
      <c r="D6" s="4">
        <v>3</v>
      </c>
      <c r="E6" s="4">
        <f>Table158[[#This Row],[Cur. Est.]]-Table158[[#This Row],[Effort]]</f>
        <v>0</v>
      </c>
      <c r="F6" s="3" t="s">
        <v>15</v>
      </c>
    </row>
    <row r="7" spans="1:10" x14ac:dyDescent="0.3">
      <c r="A7" t="s">
        <v>49</v>
      </c>
      <c r="B7" s="4">
        <v>4</v>
      </c>
      <c r="C7" s="4">
        <v>5</v>
      </c>
      <c r="D7" s="4">
        <v>5</v>
      </c>
      <c r="E7" s="4">
        <f>Table158[[#This Row],[Cur. Est.]]-Table158[[#This Row],[Effort]]</f>
        <v>0</v>
      </c>
      <c r="F7" s="3" t="s">
        <v>15</v>
      </c>
    </row>
    <row r="8" spans="1:10" x14ac:dyDescent="0.3">
      <c r="A8" t="s">
        <v>50</v>
      </c>
      <c r="B8" s="4">
        <v>3</v>
      </c>
      <c r="C8" s="4">
        <v>2</v>
      </c>
      <c r="D8" s="4">
        <v>2</v>
      </c>
      <c r="E8" s="4">
        <f>Table158[[#This Row],[Cur. Est.]]-Table158[[#This Row],[Effort]]</f>
        <v>0</v>
      </c>
      <c r="F8" s="3" t="s">
        <v>15</v>
      </c>
    </row>
    <row r="9" spans="1:10" x14ac:dyDescent="0.3">
      <c r="A9" t="s">
        <v>40</v>
      </c>
      <c r="B9" s="4">
        <v>2</v>
      </c>
      <c r="C9" s="4">
        <v>2</v>
      </c>
      <c r="D9" s="4">
        <v>2</v>
      </c>
      <c r="E9" s="4">
        <f>Table158[[#This Row],[Cur. Est.]]-Table158[[#This Row],[Effort]]</f>
        <v>0</v>
      </c>
      <c r="F9" t="s">
        <v>13</v>
      </c>
    </row>
    <row r="10" spans="1:10" x14ac:dyDescent="0.3">
      <c r="A10" t="s">
        <v>39</v>
      </c>
      <c r="B10" s="4">
        <v>3</v>
      </c>
      <c r="C10" s="4">
        <v>4</v>
      </c>
      <c r="D10" s="4">
        <v>4</v>
      </c>
      <c r="E10" s="4">
        <f>Table158[[#This Row],[Cur. Est.]]-Table158[[#This Row],[Effort]]</f>
        <v>0</v>
      </c>
      <c r="F10" t="s">
        <v>13</v>
      </c>
    </row>
    <row r="11" spans="1:10" x14ac:dyDescent="0.3">
      <c r="A11" t="s">
        <v>51</v>
      </c>
      <c r="B11" s="4">
        <v>2</v>
      </c>
      <c r="C11" s="4">
        <v>2</v>
      </c>
      <c r="D11" s="4">
        <v>2</v>
      </c>
      <c r="E11" s="4">
        <f>Table158[[#This Row],[Cur. Est.]]-Table158[[#This Row],[Effort]]</f>
        <v>0</v>
      </c>
      <c r="F11" t="s">
        <v>13</v>
      </c>
    </row>
    <row r="12" spans="1:10" x14ac:dyDescent="0.3">
      <c r="A12" t="s">
        <v>52</v>
      </c>
      <c r="B12" s="4">
        <v>1</v>
      </c>
      <c r="C12" s="4">
        <v>1</v>
      </c>
      <c r="D12" s="4">
        <v>1</v>
      </c>
      <c r="E12" s="4">
        <f>Table158[[#This Row],[Cur. Est.]]-Table158[[#This Row],[Effort]]</f>
        <v>0</v>
      </c>
      <c r="F12" t="s">
        <v>13</v>
      </c>
    </row>
    <row r="13" spans="1:10" x14ac:dyDescent="0.3">
      <c r="A13" t="s">
        <v>53</v>
      </c>
      <c r="B13" s="4">
        <v>2</v>
      </c>
      <c r="C13" s="4">
        <v>1</v>
      </c>
      <c r="D13" s="4">
        <v>1</v>
      </c>
      <c r="E13" s="4">
        <f>Table158[[#This Row],[Cur. Est.]]-Table158[[#This Row],[Effort]]</f>
        <v>0</v>
      </c>
      <c r="F13" t="s">
        <v>14</v>
      </c>
    </row>
    <row r="14" spans="1:10" x14ac:dyDescent="0.3">
      <c r="A14" t="s">
        <v>45</v>
      </c>
      <c r="B14" s="4">
        <v>1</v>
      </c>
      <c r="C14" s="4">
        <v>1</v>
      </c>
      <c r="D14" s="4">
        <v>1</v>
      </c>
      <c r="E14" s="4">
        <f>Table158[[#This Row],[Cur. Est.]]-Table158[[#This Row],[Effort]]</f>
        <v>0</v>
      </c>
      <c r="F14" t="s">
        <v>14</v>
      </c>
    </row>
    <row r="15" spans="1:10" x14ac:dyDescent="0.3">
      <c r="A15" t="s">
        <v>54</v>
      </c>
      <c r="B15" s="4">
        <v>3</v>
      </c>
      <c r="C15" s="4">
        <v>4</v>
      </c>
      <c r="D15" s="4">
        <v>4</v>
      </c>
      <c r="E15" s="4">
        <f>Table158[[#This Row],[Cur. Est.]]-Table158[[#This Row],[Effort]]</f>
        <v>0</v>
      </c>
      <c r="F15" t="s">
        <v>14</v>
      </c>
    </row>
    <row r="16" spans="1:10" x14ac:dyDescent="0.3">
      <c r="A16" t="s">
        <v>55</v>
      </c>
      <c r="B16" s="4">
        <v>2</v>
      </c>
      <c r="C16" s="4">
        <v>3</v>
      </c>
      <c r="D16" s="4">
        <v>3</v>
      </c>
      <c r="E16" s="4">
        <f>Table158[[#This Row],[Cur. Est.]]-Table158[[#This Row],[Effort]]</f>
        <v>0</v>
      </c>
      <c r="F16" t="s">
        <v>14</v>
      </c>
      <c r="J16" t="s">
        <v>57</v>
      </c>
    </row>
    <row r="17" spans="1:6" x14ac:dyDescent="0.3">
      <c r="A17" t="s">
        <v>56</v>
      </c>
      <c r="B17" s="4">
        <v>2</v>
      </c>
      <c r="C17" s="4">
        <v>3</v>
      </c>
      <c r="D17" s="4">
        <v>3</v>
      </c>
      <c r="E17" s="4">
        <f>Table158[[#This Row],[Cur. Est.]]-Table158[[#This Row],[Effort]]</f>
        <v>0</v>
      </c>
      <c r="F17" t="s">
        <v>14</v>
      </c>
    </row>
    <row r="18" spans="1:6" x14ac:dyDescent="0.3">
      <c r="A18" s="5" t="s">
        <v>19</v>
      </c>
      <c r="B18" s="7">
        <f>SUM(B2:B17)</f>
        <v>36</v>
      </c>
      <c r="C18" s="7">
        <f>SUM(C2:C17)</f>
        <v>43</v>
      </c>
      <c r="D18" s="7">
        <f>SUM(D2:D17)</f>
        <v>43</v>
      </c>
      <c r="E18" s="7">
        <f>SUM(E2:E17)</f>
        <v>0</v>
      </c>
      <c r="F18" s="6" t="s">
        <v>20</v>
      </c>
    </row>
    <row r="20" spans="1:6" x14ac:dyDescent="0.3">
      <c r="A20" s="2" t="s">
        <v>23</v>
      </c>
      <c r="B20" s="2" t="s">
        <v>19</v>
      </c>
    </row>
    <row r="21" spans="1:6" x14ac:dyDescent="0.3">
      <c r="A21" s="1" t="s">
        <v>13</v>
      </c>
      <c r="B21" s="4">
        <f>SUMIF($F$2:$F$17,Table14710[[#This Row],[User]],$C$2:$C$17)</f>
        <v>9</v>
      </c>
    </row>
    <row r="22" spans="1:6" x14ac:dyDescent="0.3">
      <c r="A22" s="1" t="s">
        <v>14</v>
      </c>
      <c r="B22" s="4">
        <f>SUMIF($F$2:$F$17,Table14710[[#This Row],[User]],$C$2:$C$17)</f>
        <v>12</v>
      </c>
    </row>
    <row r="23" spans="1:6" x14ac:dyDescent="0.3">
      <c r="A23" s="1" t="s">
        <v>15</v>
      </c>
      <c r="B23" s="4">
        <f>SUMIF($F$2:$F$17,Table14710[[#This Row],[User]],$C$2:$C$17)</f>
        <v>10</v>
      </c>
    </row>
    <row r="24" spans="1:6" x14ac:dyDescent="0.3">
      <c r="A24" s="1" t="s">
        <v>16</v>
      </c>
      <c r="B24" s="4">
        <f>SUMIF($F$2:$F$17,Table14710[[#This Row],[User]],$C$2:$C$17)</f>
        <v>12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4C40-E7FD-4C7C-AF12-947F231E99F9}">
  <dimension ref="A1:J18"/>
  <sheetViews>
    <sheetView workbookViewId="0">
      <selection activeCell="A3" sqref="A3"/>
    </sheetView>
  </sheetViews>
  <sheetFormatPr defaultRowHeight="14.4" x14ac:dyDescent="0.3"/>
  <cols>
    <col min="1" max="1" width="33" bestFit="1" customWidth="1"/>
    <col min="2" max="2" width="8.44140625" bestFit="1" customWidth="1"/>
    <col min="3" max="3" width="7.88671875" bestFit="1" customWidth="1"/>
    <col min="4" max="4" width="5.44140625" bestFit="1" customWidth="1"/>
    <col min="5" max="5" width="7.33203125" bestFit="1" customWidth="1"/>
    <col min="6" max="6" width="14.77734375" bestFit="1" customWidth="1"/>
    <col min="8" max="8" width="13.88671875" bestFit="1" customWidth="1"/>
    <col min="9" max="9" width="13.77734375" bestFit="1" customWidth="1"/>
    <col min="10" max="10" width="14.77734375" bestFit="1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x14ac:dyDescent="0.3">
      <c r="A2" s="10" t="s">
        <v>58</v>
      </c>
      <c r="B2" s="4">
        <v>4</v>
      </c>
      <c r="C2" s="4">
        <v>8</v>
      </c>
      <c r="D2" s="4">
        <v>8</v>
      </c>
      <c r="E2" s="4">
        <f>Table15811[[#This Row],[Cur. Est.]]-Table15811[[#This Row],[Effort]]</f>
        <v>0</v>
      </c>
      <c r="F2" s="3" t="s">
        <v>13</v>
      </c>
      <c r="H2" s="3" t="s">
        <v>15</v>
      </c>
      <c r="I2" s="3" t="s">
        <v>13</v>
      </c>
      <c r="J2" s="3" t="s">
        <v>14</v>
      </c>
    </row>
    <row r="3" spans="1:10" x14ac:dyDescent="0.3">
      <c r="A3" s="10" t="s">
        <v>59</v>
      </c>
      <c r="B3" s="4">
        <v>3</v>
      </c>
      <c r="C3" s="4">
        <v>3</v>
      </c>
      <c r="D3" s="4">
        <v>3</v>
      </c>
      <c r="E3" s="4">
        <f>Table15811[[#This Row],[Cur. Est.]]-Table15811[[#This Row],[Effort]]</f>
        <v>0</v>
      </c>
      <c r="F3" s="3" t="s">
        <v>15</v>
      </c>
      <c r="H3" s="3"/>
      <c r="I3" s="3"/>
      <c r="J3" s="3" t="s">
        <v>16</v>
      </c>
    </row>
    <row r="4" spans="1:10" x14ac:dyDescent="0.3">
      <c r="A4" s="10" t="s">
        <v>60</v>
      </c>
      <c r="B4" s="4">
        <v>2</v>
      </c>
      <c r="C4" s="4">
        <v>3</v>
      </c>
      <c r="D4" s="4">
        <v>3</v>
      </c>
      <c r="E4" s="4">
        <f>Table15811[[#This Row],[Cur. Est.]]-Table15811[[#This Row],[Effort]]</f>
        <v>0</v>
      </c>
      <c r="F4" s="3" t="s">
        <v>15</v>
      </c>
    </row>
    <row r="5" spans="1:10" x14ac:dyDescent="0.3">
      <c r="A5" s="10" t="s">
        <v>61</v>
      </c>
      <c r="B5" s="4">
        <v>1</v>
      </c>
      <c r="C5" s="4">
        <v>2</v>
      </c>
      <c r="D5" s="4">
        <v>2</v>
      </c>
      <c r="E5" s="4">
        <f>Table15811[[#This Row],[Cur. Est.]]-Table15811[[#This Row],[Effort]]</f>
        <v>0</v>
      </c>
      <c r="F5" s="3" t="s">
        <v>15</v>
      </c>
    </row>
    <row r="6" spans="1:10" x14ac:dyDescent="0.3">
      <c r="A6" s="10" t="s">
        <v>62</v>
      </c>
      <c r="B6" s="4">
        <v>4</v>
      </c>
      <c r="C6" s="4">
        <v>6</v>
      </c>
      <c r="D6" s="4">
        <v>6</v>
      </c>
      <c r="E6" s="4">
        <f>Table15811[[#This Row],[Cur. Est.]]-Table15811[[#This Row],[Effort]]</f>
        <v>0</v>
      </c>
      <c r="F6" s="3" t="s">
        <v>16</v>
      </c>
    </row>
    <row r="7" spans="1:10" x14ac:dyDescent="0.3">
      <c r="A7" s="10" t="s">
        <v>47</v>
      </c>
      <c r="B7" s="4">
        <v>1</v>
      </c>
      <c r="C7" s="4">
        <v>2</v>
      </c>
      <c r="D7" s="4">
        <v>2</v>
      </c>
      <c r="E7" s="4">
        <f>Table15811[[#This Row],[Cur. Est.]]-Table15811[[#This Row],[Effort]]</f>
        <v>0</v>
      </c>
      <c r="F7" s="3" t="s">
        <v>16</v>
      </c>
    </row>
    <row r="8" spans="1:10" x14ac:dyDescent="0.3">
      <c r="A8" s="10" t="s">
        <v>63</v>
      </c>
      <c r="B8" s="4">
        <v>3</v>
      </c>
      <c r="C8" s="4">
        <v>3</v>
      </c>
      <c r="D8" s="4">
        <v>3</v>
      </c>
      <c r="E8" s="4">
        <f>Table15811[[#This Row],[Cur. Est.]]-Table15811[[#This Row],[Effort]]</f>
        <v>0</v>
      </c>
      <c r="F8" s="3" t="s">
        <v>13</v>
      </c>
    </row>
    <row r="9" spans="1:10" x14ac:dyDescent="0.3">
      <c r="A9" s="10" t="s">
        <v>64</v>
      </c>
      <c r="B9" s="4">
        <v>3</v>
      </c>
      <c r="C9" s="4">
        <v>5</v>
      </c>
      <c r="D9" s="4">
        <v>5</v>
      </c>
      <c r="E9" s="4">
        <f>Table15811[[#This Row],[Cur. Est.]]-Table15811[[#This Row],[Effort]]</f>
        <v>0</v>
      </c>
      <c r="F9" t="s">
        <v>14</v>
      </c>
    </row>
    <row r="10" spans="1:10" x14ac:dyDescent="0.3">
      <c r="A10" s="10" t="s">
        <v>65</v>
      </c>
      <c r="B10" s="4">
        <v>2</v>
      </c>
      <c r="C10" s="4">
        <v>2</v>
      </c>
      <c r="D10" s="4">
        <v>2</v>
      </c>
      <c r="E10" s="4">
        <f>Table15811[[#This Row],[Cur. Est.]]-Table15811[[#This Row],[Effort]]</f>
        <v>0</v>
      </c>
      <c r="F10" t="s">
        <v>16</v>
      </c>
    </row>
    <row r="11" spans="1:10" x14ac:dyDescent="0.3">
      <c r="A11" s="10" t="s">
        <v>66</v>
      </c>
      <c r="B11" s="4">
        <v>3</v>
      </c>
      <c r="C11" s="4">
        <v>3</v>
      </c>
      <c r="D11" s="4">
        <v>3</v>
      </c>
      <c r="E11" s="4">
        <f>Table15811[[#This Row],[Cur. Est.]]-Table15811[[#This Row],[Effort]]</f>
        <v>0</v>
      </c>
      <c r="F11" t="s">
        <v>14</v>
      </c>
    </row>
    <row r="12" spans="1:10" x14ac:dyDescent="0.3">
      <c r="A12" s="5" t="s">
        <v>19</v>
      </c>
      <c r="B12" s="7">
        <f>SUM(B2:B11)</f>
        <v>26</v>
      </c>
      <c r="C12" s="7">
        <f>SUM(C2:C11)</f>
        <v>37</v>
      </c>
      <c r="D12" s="7">
        <f>SUM(D2:D11)</f>
        <v>37</v>
      </c>
      <c r="E12" s="7">
        <f>SUM(E2:E11)</f>
        <v>0</v>
      </c>
      <c r="F12" s="6" t="s">
        <v>20</v>
      </c>
    </row>
    <row r="14" spans="1:10" x14ac:dyDescent="0.3">
      <c r="A14" s="2" t="s">
        <v>23</v>
      </c>
      <c r="B14" s="2" t="s">
        <v>19</v>
      </c>
    </row>
    <row r="15" spans="1:10" x14ac:dyDescent="0.3">
      <c r="A15" s="1" t="s">
        <v>13</v>
      </c>
      <c r="B15" s="4">
        <f>SUMIF($F$2:$F$11,Table1471013[[#This Row],[User]],$C$2:$C$11)</f>
        <v>11</v>
      </c>
    </row>
    <row r="16" spans="1:10" x14ac:dyDescent="0.3">
      <c r="A16" s="1" t="s">
        <v>14</v>
      </c>
      <c r="B16" s="4">
        <f>SUMIF($F$2:$F$11,Table1471013[[#This Row],[User]],$C$2:$C$11)</f>
        <v>8</v>
      </c>
    </row>
    <row r="17" spans="1:2" x14ac:dyDescent="0.3">
      <c r="A17" s="1" t="s">
        <v>15</v>
      </c>
      <c r="B17" s="4">
        <f>SUMIF($F$2:$F$11,Table1471013[[#This Row],[User]],$C$2:$C$11)</f>
        <v>8</v>
      </c>
    </row>
    <row r="18" spans="1:2" x14ac:dyDescent="0.3">
      <c r="A18" s="1" t="s">
        <v>16</v>
      </c>
      <c r="B18" s="4">
        <f>SUMIF($F$2:$F$11,Table1471013[[#This Row],[User]],$C$2:$C$11)</f>
        <v>10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BC13-E955-44D1-80D6-29164ED7E335}">
  <dimension ref="A1:J28"/>
  <sheetViews>
    <sheetView tabSelected="1" topLeftCell="A12" workbookViewId="0">
      <selection activeCell="F31" sqref="F31"/>
    </sheetView>
  </sheetViews>
  <sheetFormatPr defaultRowHeight="14.4" x14ac:dyDescent="0.3"/>
  <cols>
    <col min="1" max="1" width="35.109375" customWidth="1"/>
    <col min="3" max="3" width="7.88671875" bestFit="1" customWidth="1"/>
    <col min="6" max="6" width="16.44140625" style="2" customWidth="1"/>
    <col min="8" max="8" width="14.88671875" customWidth="1"/>
    <col min="9" max="9" width="15.44140625" customWidth="1"/>
    <col min="10" max="10" width="17.88671875" customWidth="1"/>
  </cols>
  <sheetData>
    <row r="1" spans="1:10" x14ac:dyDescent="0.3">
      <c r="A1" s="2" t="s">
        <v>0</v>
      </c>
      <c r="B1" s="2" t="s">
        <v>17</v>
      </c>
      <c r="C1" s="2" t="s">
        <v>18</v>
      </c>
      <c r="D1" s="2" t="s">
        <v>1</v>
      </c>
      <c r="E1" s="2" t="s">
        <v>2</v>
      </c>
      <c r="F1" s="2" t="s">
        <v>3</v>
      </c>
      <c r="H1" t="s">
        <v>10</v>
      </c>
      <c r="I1" t="s">
        <v>11</v>
      </c>
      <c r="J1" t="s">
        <v>12</v>
      </c>
    </row>
    <row r="2" spans="1:10" x14ac:dyDescent="0.3">
      <c r="A2" s="10" t="s">
        <v>67</v>
      </c>
      <c r="B2" s="4">
        <v>3</v>
      </c>
      <c r="C2" s="4">
        <v>4</v>
      </c>
      <c r="D2" s="4">
        <v>4</v>
      </c>
      <c r="E2" s="4">
        <f>Table1581114[[#This Row],[Cur. Est.]]-Table1581114[[#This Row],[Effort]]</f>
        <v>0</v>
      </c>
      <c r="F2" s="9" t="s">
        <v>16</v>
      </c>
      <c r="H2" s="3" t="s">
        <v>13</v>
      </c>
      <c r="I2" s="3" t="s">
        <v>14</v>
      </c>
      <c r="J2" s="3" t="s">
        <v>16</v>
      </c>
    </row>
    <row r="3" spans="1:10" x14ac:dyDescent="0.3">
      <c r="A3" s="10" t="s">
        <v>68</v>
      </c>
      <c r="B3" s="4">
        <v>2</v>
      </c>
      <c r="C3" s="4">
        <v>2</v>
      </c>
      <c r="D3" s="4">
        <v>2</v>
      </c>
      <c r="E3" s="4">
        <f>Table1581114[[#This Row],[Cur. Est.]]-Table1581114[[#This Row],[Effort]]</f>
        <v>0</v>
      </c>
      <c r="F3" s="9" t="s">
        <v>14</v>
      </c>
      <c r="H3" s="3"/>
      <c r="I3" s="3"/>
      <c r="J3" s="3" t="s">
        <v>15</v>
      </c>
    </row>
    <row r="4" spans="1:10" ht="28.8" x14ac:dyDescent="0.3">
      <c r="A4" s="11" t="s">
        <v>77</v>
      </c>
      <c r="B4" s="4">
        <v>3</v>
      </c>
      <c r="C4" s="4">
        <v>2</v>
      </c>
      <c r="D4" s="4">
        <v>2</v>
      </c>
      <c r="E4" s="4">
        <f>Table1581114[[#This Row],[Cur. Est.]]-Table1581114[[#This Row],[Effort]]</f>
        <v>0</v>
      </c>
      <c r="F4" s="9" t="s">
        <v>13</v>
      </c>
    </row>
    <row r="5" spans="1:10" x14ac:dyDescent="0.3">
      <c r="A5" s="10" t="s">
        <v>69</v>
      </c>
      <c r="B5" s="4">
        <v>4</v>
      </c>
      <c r="C5" s="4">
        <v>5</v>
      </c>
      <c r="D5" s="4">
        <v>5</v>
      </c>
      <c r="E5" s="4">
        <f>Table1581114[[#This Row],[Cur. Est.]]-Table1581114[[#This Row],[Effort]]</f>
        <v>0</v>
      </c>
      <c r="F5" s="9" t="s">
        <v>14</v>
      </c>
    </row>
    <row r="6" spans="1:10" x14ac:dyDescent="0.3">
      <c r="A6" s="10" t="s">
        <v>67</v>
      </c>
      <c r="B6" s="4">
        <v>4</v>
      </c>
      <c r="C6" s="4">
        <v>4</v>
      </c>
      <c r="D6" s="4">
        <v>4</v>
      </c>
      <c r="E6" s="4">
        <f>Table1581114[[#This Row],[Cur. Est.]]-Table1581114[[#This Row],[Effort]]</f>
        <v>0</v>
      </c>
      <c r="F6" s="9" t="s">
        <v>13</v>
      </c>
    </row>
    <row r="7" spans="1:10" x14ac:dyDescent="0.3">
      <c r="A7" s="10" t="s">
        <v>70</v>
      </c>
      <c r="B7" s="4">
        <v>4</v>
      </c>
      <c r="C7" s="4">
        <v>3</v>
      </c>
      <c r="D7" s="4">
        <v>3</v>
      </c>
      <c r="E7" s="4">
        <f>Table1581114[[#This Row],[Cur. Est.]]-Table1581114[[#This Row],[Effort]]</f>
        <v>0</v>
      </c>
      <c r="F7" s="9" t="s">
        <v>15</v>
      </c>
    </row>
    <row r="8" spans="1:10" ht="28.8" x14ac:dyDescent="0.3">
      <c r="A8" s="11" t="s">
        <v>71</v>
      </c>
      <c r="B8" s="4">
        <v>2</v>
      </c>
      <c r="C8" s="8">
        <v>1.5</v>
      </c>
      <c r="D8" s="8">
        <v>1.5</v>
      </c>
      <c r="E8" s="4">
        <f>Table1581114[[#This Row],[Cur. Est.]]-Table1581114[[#This Row],[Effort]]</f>
        <v>0</v>
      </c>
      <c r="F8" s="9" t="s">
        <v>16</v>
      </c>
    </row>
    <row r="9" spans="1:10" x14ac:dyDescent="0.3">
      <c r="A9" s="10" t="s">
        <v>72</v>
      </c>
      <c r="B9" s="4">
        <v>1</v>
      </c>
      <c r="C9" s="4">
        <v>1</v>
      </c>
      <c r="D9" s="4">
        <v>1</v>
      </c>
      <c r="E9" s="4">
        <f>Table1581114[[#This Row],[Cur. Est.]]-Table1581114[[#This Row],[Effort]]</f>
        <v>0</v>
      </c>
      <c r="F9" s="9" t="s">
        <v>14</v>
      </c>
    </row>
    <row r="10" spans="1:10" x14ac:dyDescent="0.3">
      <c r="A10" s="10" t="s">
        <v>59</v>
      </c>
      <c r="B10" s="4">
        <v>3</v>
      </c>
      <c r="C10" s="4">
        <v>3</v>
      </c>
      <c r="D10" s="4">
        <v>3</v>
      </c>
      <c r="E10" s="4">
        <f>Table1581114[[#This Row],[Cur. Est.]]-Table1581114[[#This Row],[Effort]]</f>
        <v>0</v>
      </c>
      <c r="F10" s="9" t="s">
        <v>15</v>
      </c>
    </row>
    <row r="11" spans="1:10" ht="28.8" x14ac:dyDescent="0.3">
      <c r="A11" s="11" t="s">
        <v>73</v>
      </c>
      <c r="B11" s="4">
        <v>2</v>
      </c>
      <c r="C11" s="4">
        <v>1</v>
      </c>
      <c r="D11" s="4">
        <v>1</v>
      </c>
      <c r="E11" s="4">
        <f>Table1581114[[#This Row],[Cur. Est.]]-Table1581114[[#This Row],[Effort]]</f>
        <v>0</v>
      </c>
      <c r="F11" s="9" t="s">
        <v>15</v>
      </c>
    </row>
    <row r="12" spans="1:10" ht="27" x14ac:dyDescent="0.3">
      <c r="A12" s="12" t="s">
        <v>74</v>
      </c>
      <c r="B12" s="4">
        <v>2</v>
      </c>
      <c r="C12" s="4">
        <v>2</v>
      </c>
      <c r="D12" s="4">
        <v>2</v>
      </c>
      <c r="E12" s="4">
        <f>Table1581114[[#This Row],[Cur. Est.]]-Table1581114[[#This Row],[Effort]]</f>
        <v>0</v>
      </c>
      <c r="F12" s="9" t="s">
        <v>15</v>
      </c>
    </row>
    <row r="13" spans="1:10" ht="27" x14ac:dyDescent="0.3">
      <c r="A13" s="13" t="s">
        <v>75</v>
      </c>
      <c r="B13" s="4">
        <v>1</v>
      </c>
      <c r="C13" s="4">
        <v>1</v>
      </c>
      <c r="D13" s="4">
        <v>1</v>
      </c>
      <c r="E13" s="4">
        <f>Table1581114[[#This Row],[Cur. Est.]]-Table1581114[[#This Row],[Effort]]</f>
        <v>0</v>
      </c>
      <c r="F13" s="9" t="s">
        <v>16</v>
      </c>
    </row>
    <row r="14" spans="1:10" x14ac:dyDescent="0.3">
      <c r="A14" s="14" t="s">
        <v>76</v>
      </c>
      <c r="B14" s="4">
        <v>4</v>
      </c>
      <c r="C14" s="4">
        <v>3</v>
      </c>
      <c r="D14" s="4">
        <v>3</v>
      </c>
      <c r="E14" s="4">
        <f>Table1581114[[#This Row],[Cur. Est.]]-Table1581114[[#This Row],[Effort]]</f>
        <v>0</v>
      </c>
      <c r="F14" s="9" t="s">
        <v>14</v>
      </c>
    </row>
    <row r="15" spans="1:10" ht="28.2" customHeight="1" x14ac:dyDescent="0.3">
      <c r="A15" s="13" t="s">
        <v>78</v>
      </c>
      <c r="B15" s="4">
        <v>2</v>
      </c>
      <c r="C15" s="4">
        <v>2</v>
      </c>
      <c r="D15" s="4">
        <v>2</v>
      </c>
      <c r="E15" s="4">
        <f>Table1581114[[#This Row],[Cur. Est.]]-Table1581114[[#This Row],[Effort]]</f>
        <v>0</v>
      </c>
      <c r="F15" s="9" t="s">
        <v>14</v>
      </c>
    </row>
    <row r="16" spans="1:10" x14ac:dyDescent="0.3">
      <c r="A16" s="13" t="s">
        <v>79</v>
      </c>
      <c r="B16" s="4">
        <v>4</v>
      </c>
      <c r="C16" s="4">
        <v>5</v>
      </c>
      <c r="D16" s="4">
        <v>5</v>
      </c>
      <c r="E16" s="4">
        <f>Table1581114[[#This Row],[Cur. Est.]]-Table1581114[[#This Row],[Effort]]</f>
        <v>0</v>
      </c>
      <c r="F16" s="9" t="s">
        <v>16</v>
      </c>
    </row>
    <row r="17" spans="1:6" x14ac:dyDescent="0.3">
      <c r="A17" s="15" t="s">
        <v>83</v>
      </c>
      <c r="B17" s="9">
        <v>3</v>
      </c>
      <c r="C17" s="9">
        <v>3</v>
      </c>
      <c r="D17" s="9">
        <v>3</v>
      </c>
      <c r="E17" s="9"/>
      <c r="F17" s="9" t="s">
        <v>16</v>
      </c>
    </row>
    <row r="18" spans="1:6" x14ac:dyDescent="0.3">
      <c r="A18" s="13" t="s">
        <v>81</v>
      </c>
      <c r="B18" s="4">
        <v>3</v>
      </c>
      <c r="C18" s="4">
        <v>3</v>
      </c>
      <c r="D18" s="4">
        <v>3</v>
      </c>
      <c r="E18" s="4">
        <f>Table1581114[[#This Row],[Cur. Est.]]-Table1581114[[#This Row],[Effort]]</f>
        <v>0</v>
      </c>
      <c r="F18" s="9" t="s">
        <v>13</v>
      </c>
    </row>
    <row r="19" spans="1:6" x14ac:dyDescent="0.3">
      <c r="A19" s="13" t="s">
        <v>82</v>
      </c>
      <c r="B19" s="4">
        <v>2</v>
      </c>
      <c r="C19" s="4">
        <v>2</v>
      </c>
      <c r="D19" s="4">
        <v>2</v>
      </c>
      <c r="E19" s="4">
        <f>Table1581114[[#This Row],[Cur. Est.]]-Table1581114[[#This Row],[Effort]]</f>
        <v>0</v>
      </c>
      <c r="F19" s="9" t="s">
        <v>15</v>
      </c>
    </row>
    <row r="20" spans="1:6" x14ac:dyDescent="0.3">
      <c r="A20" s="15" t="s">
        <v>80</v>
      </c>
      <c r="B20" s="9">
        <v>1</v>
      </c>
      <c r="C20" s="9">
        <v>1</v>
      </c>
      <c r="D20" s="9">
        <v>1</v>
      </c>
      <c r="E20" s="9">
        <f>Table1581114[[#This Row],[Cur. Est.]]-Table1581114[[#This Row],[Effort]]</f>
        <v>0</v>
      </c>
      <c r="F20" s="9" t="s">
        <v>13</v>
      </c>
    </row>
    <row r="21" spans="1:6" x14ac:dyDescent="0.3">
      <c r="A21" s="13" t="s">
        <v>45</v>
      </c>
      <c r="B21" s="4">
        <v>1</v>
      </c>
      <c r="C21" s="4">
        <v>1</v>
      </c>
      <c r="D21" s="4">
        <v>1</v>
      </c>
      <c r="E21" s="4">
        <f>Table1581114[[#This Row],[Cur. Est.]]-Table1581114[[#This Row],[Effort]]</f>
        <v>0</v>
      </c>
      <c r="F21" s="9" t="s">
        <v>14</v>
      </c>
    </row>
    <row r="22" spans="1:6" x14ac:dyDescent="0.3">
      <c r="A22" s="5" t="s">
        <v>19</v>
      </c>
      <c r="B22" s="7">
        <f>SUM(B2:B11)</f>
        <v>28</v>
      </c>
      <c r="C22" s="7">
        <f>SUM(C2:C11)</f>
        <v>26.5</v>
      </c>
      <c r="D22" s="7">
        <f>SUM(D2:D11)</f>
        <v>26.5</v>
      </c>
      <c r="E22" s="7">
        <f>SUM(E2:E11)</f>
        <v>0</v>
      </c>
      <c r="F22" s="6" t="s">
        <v>20</v>
      </c>
    </row>
    <row r="23" spans="1:6" x14ac:dyDescent="0.3">
      <c r="A23" s="19"/>
      <c r="B23" s="16"/>
      <c r="C23" s="16"/>
      <c r="D23" s="16"/>
      <c r="E23" s="16"/>
      <c r="F23" s="16"/>
    </row>
    <row r="24" spans="1:6" x14ac:dyDescent="0.3">
      <c r="A24" s="2" t="s">
        <v>23</v>
      </c>
      <c r="B24" s="2" t="s">
        <v>19</v>
      </c>
      <c r="C24" s="17"/>
      <c r="D24" s="17"/>
      <c r="E24" s="17"/>
      <c r="F24" s="18"/>
    </row>
    <row r="25" spans="1:6" x14ac:dyDescent="0.3">
      <c r="A25" s="1" t="s">
        <v>13</v>
      </c>
      <c r="B25" s="4">
        <f>SUMIF($F$2:$F$21,Table147101316[[#This Row],[User]],$C$2:$C$21)</f>
        <v>10</v>
      </c>
    </row>
    <row r="26" spans="1:6" x14ac:dyDescent="0.3">
      <c r="A26" s="1" t="s">
        <v>14</v>
      </c>
      <c r="B26" s="4">
        <f>SUMIF($F$2:$F$21,Table147101316[[#This Row],[User]],$C$2:$C$21)</f>
        <v>14</v>
      </c>
    </row>
    <row r="27" spans="1:6" x14ac:dyDescent="0.3">
      <c r="A27" s="1" t="s">
        <v>15</v>
      </c>
      <c r="B27" s="4">
        <f>SUMIF($F$2:$F$21,Table147101316[[#This Row],[User]],$C$2:$C$21)</f>
        <v>11</v>
      </c>
    </row>
    <row r="28" spans="1:6" x14ac:dyDescent="0.3">
      <c r="A28" s="1" t="s">
        <v>16</v>
      </c>
      <c r="B28" s="4">
        <f>SUMIF($F$2:$F$21,Table147101316[[#This Row],[User]],$C$2:$C$21)</f>
        <v>14.5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 1</vt:lpstr>
      <vt:lpstr>Sprint 2</vt:lpstr>
      <vt:lpstr>Sprint 3</vt:lpstr>
      <vt:lpstr>Sprint 4</vt:lpstr>
      <vt:lpstr>Sprint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Wimmer Audrey</dc:creator>
  <cp:lastModifiedBy>Wimmer Audrey</cp:lastModifiedBy>
  <dcterms:created xsi:type="dcterms:W3CDTF">2026-02-05T19:51:49Z</dcterms:created>
  <dcterms:modified xsi:type="dcterms:W3CDTF">2026-05-29T11:43:38Z</dcterms:modified>
</cp:coreProperties>
</file>